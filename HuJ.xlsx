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Z:\Transfer\HuJ\bureau\"/>
    </mc:Choice>
  </mc:AlternateContent>
  <xr:revisionPtr revIDLastSave="0" documentId="13_ncr:1_{949CA77B-8FB2-4181-8D0D-D426200A379D}" xr6:coauthVersionLast="47" xr6:coauthVersionMax="47" xr10:uidLastSave="{00000000-0000-0000-0000-000000000000}"/>
  <bookViews>
    <workbookView xWindow="5328" yWindow="4524" windowWidth="20040" windowHeight="15672" firstSheet="24" activeTab="28" xr2:uid="{00000000-000D-0000-FFFF-FFFF00000000}"/>
  </bookViews>
  <sheets>
    <sheet name="Chantier" sheetId="10" r:id="rId1"/>
    <sheet name="Octobre 2020" sheetId="1" r:id="rId2"/>
    <sheet name="Novembre 2020" sheetId="2" r:id="rId3"/>
    <sheet name="Decembre 2020" sheetId="3" r:id="rId4"/>
    <sheet name="Janvier 2021" sheetId="4" r:id="rId5"/>
    <sheet name="Fevrier 2021" sheetId="5" r:id="rId6"/>
    <sheet name="Mars 2021" sheetId="6" r:id="rId7"/>
    <sheet name="Avril 2021" sheetId="7" r:id="rId8"/>
    <sheet name="Mai 2021" sheetId="8" r:id="rId9"/>
    <sheet name="Juin 2021" sheetId="9" r:id="rId10"/>
    <sheet name="Juillet 2021" sheetId="11" r:id="rId11"/>
    <sheet name="Août 2021" sheetId="12" r:id="rId12"/>
    <sheet name="Septembre 2021" sheetId="13" r:id="rId13"/>
    <sheet name="Octobre 2021" sheetId="14" r:id="rId14"/>
    <sheet name="Novembre 2021" sheetId="16" r:id="rId15"/>
    <sheet name="Feuil1" sheetId="17" r:id="rId16"/>
    <sheet name="Janvier 2022" sheetId="18" r:id="rId17"/>
    <sheet name="Février 2022" sheetId="20" r:id="rId18"/>
    <sheet name="Mars 2022" sheetId="22" r:id="rId19"/>
    <sheet name="Avril 2022" sheetId="24" r:id="rId20"/>
    <sheet name="Mai 2022" sheetId="26" r:id="rId21"/>
    <sheet name="Juin 2022" sheetId="27" r:id="rId22"/>
    <sheet name="Juillet 2022 " sheetId="28" r:id="rId23"/>
    <sheet name="Août 2022" sheetId="29" r:id="rId24"/>
    <sheet name="Septembre 2022" sheetId="30" r:id="rId25"/>
    <sheet name="Octobre 2022" sheetId="31" r:id="rId26"/>
    <sheet name="Novembre 2022" sheetId="32" r:id="rId27"/>
    <sheet name="Decembre 2022" sheetId="33" r:id="rId28"/>
    <sheet name="Janvier 2023" sheetId="34" r:id="rId29"/>
    <sheet name="Feuil2" sheetId="23" r:id="rId30"/>
    <sheet name="contôle" sheetId="19" r:id="rId31"/>
  </sheets>
  <definedNames>
    <definedName name="A180000000">'Fevrier 2021'!$1:$1048576</definedName>
    <definedName name="A1999999">'Fevrier 2021'!$A$999999</definedName>
    <definedName name="A9999999">'Fevrier 2021'!$A$999999</definedName>
    <definedName name="A99999999">'Fevrier 2021'!$C$180007</definedName>
    <definedName name="A999999999">'Fevrier 2021'!$A$179996:$C$180003</definedName>
    <definedName name="A999999999999999">'Fevrier 2021'!$A$179996:$C$180003</definedName>
    <definedName name="_xlnm.Print_Area" localSheetId="11">'Août 2021'!$B$2:$X$36</definedName>
    <definedName name="_xlnm.Print_Area" localSheetId="23">'Août 2022'!$B$2:$X$38</definedName>
    <definedName name="_xlnm.Print_Area" localSheetId="19">'Avril 2022'!$B$2:$X$38</definedName>
    <definedName name="_xlnm.Print_Area" localSheetId="30">contôle!$B$2:$X$38</definedName>
    <definedName name="_xlnm.Print_Area" localSheetId="27">'Decembre 2022'!$B$2:$X$38</definedName>
    <definedName name="_xlnm.Print_Area" localSheetId="17">'Février 2022'!$B$2:$X$38</definedName>
    <definedName name="_xlnm.Print_Area" localSheetId="16">'Janvier 2022'!$B$2:$X$38</definedName>
    <definedName name="_xlnm.Print_Area" localSheetId="28">'Janvier 2023'!$B$2:$X$38</definedName>
    <definedName name="_xlnm.Print_Area" localSheetId="10">'Juillet 2021'!$B$6:$X$40</definedName>
    <definedName name="_xlnm.Print_Area" localSheetId="22">'Juillet 2022 '!$B$2:$X$38</definedName>
    <definedName name="_xlnm.Print_Area" localSheetId="9">'Juin 2021'!$B$6:$X$40</definedName>
    <definedName name="_xlnm.Print_Area" localSheetId="21">'Juin 2022'!$B$2:$X$38</definedName>
    <definedName name="_xlnm.Print_Area" localSheetId="8">'Mai 2021'!$B$1:$T$32</definedName>
    <definedName name="_xlnm.Print_Area" localSheetId="20">'Mai 2022'!$B$2:$X$38</definedName>
    <definedName name="_xlnm.Print_Area" localSheetId="18">'Mars 2022'!$B$2:$X$38</definedName>
    <definedName name="_xlnm.Print_Area" localSheetId="14">'Novembre 2021'!$B$2:$X$38</definedName>
    <definedName name="_xlnm.Print_Area" localSheetId="26">'Novembre 2022'!$B$2:$X$38</definedName>
    <definedName name="_xlnm.Print_Area" localSheetId="13">'Octobre 2021'!$B$2:$X$38</definedName>
    <definedName name="_xlnm.Print_Area" localSheetId="25">'Octobre 2022'!$B$2:$X$38</definedName>
    <definedName name="_xlnm.Print_Area" localSheetId="12">'Septembre 2021'!$B$2:$X$38</definedName>
    <definedName name="_xlnm.Print_Area" localSheetId="24">'Septembre 2022'!$B$2:$X$38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8576" i="34" l="1"/>
  <c r="H76" i="34"/>
  <c r="G76" i="34"/>
  <c r="E51" i="34"/>
  <c r="E50" i="34"/>
  <c r="E49" i="34"/>
  <c r="E48" i="34"/>
  <c r="AS47" i="34"/>
  <c r="E47" i="34"/>
  <c r="E40" i="34" s="1"/>
  <c r="E46" i="34"/>
  <c r="E45" i="34"/>
  <c r="E44" i="34"/>
  <c r="E43" i="34"/>
  <c r="AR42" i="34"/>
  <c r="E42" i="34"/>
  <c r="E41" i="34"/>
  <c r="AR40" i="34"/>
  <c r="AS39" i="34"/>
  <c r="AS40" i="34" s="1"/>
  <c r="AS42" i="34" s="1"/>
  <c r="AR39" i="34"/>
  <c r="L37" i="34"/>
  <c r="J37" i="34"/>
  <c r="G37" i="34"/>
  <c r="AO36" i="34"/>
  <c r="AL36" i="34"/>
  <c r="L36" i="34"/>
  <c r="J36" i="34"/>
  <c r="G36" i="34"/>
  <c r="L35" i="34"/>
  <c r="J35" i="34"/>
  <c r="G35" i="34"/>
  <c r="L34" i="34"/>
  <c r="J34" i="34"/>
  <c r="G34" i="34"/>
  <c r="L33" i="34"/>
  <c r="J33" i="34"/>
  <c r="G33" i="34"/>
  <c r="B33" i="34"/>
  <c r="J32" i="34"/>
  <c r="G32" i="34"/>
  <c r="J31" i="34"/>
  <c r="G31" i="34"/>
  <c r="AR30" i="34"/>
  <c r="L30" i="34"/>
  <c r="J30" i="34"/>
  <c r="G30" i="34"/>
  <c r="AR29" i="34"/>
  <c r="L29" i="34"/>
  <c r="J29" i="34"/>
  <c r="G29" i="34"/>
  <c r="L28" i="34"/>
  <c r="J28" i="34"/>
  <c r="G28" i="34"/>
  <c r="AR27" i="34"/>
  <c r="L27" i="34"/>
  <c r="J27" i="34"/>
  <c r="G27" i="34"/>
  <c r="L26" i="34"/>
  <c r="J26" i="34"/>
  <c r="G26" i="34"/>
  <c r="B26" i="34"/>
  <c r="J25" i="34"/>
  <c r="G25" i="34"/>
  <c r="J24" i="34"/>
  <c r="G24" i="34"/>
  <c r="L23" i="34"/>
  <c r="J23" i="34"/>
  <c r="G23" i="34"/>
  <c r="L22" i="34"/>
  <c r="J22" i="34"/>
  <c r="G22" i="34"/>
  <c r="L21" i="34"/>
  <c r="J21" i="34"/>
  <c r="G21" i="34"/>
  <c r="L20" i="34"/>
  <c r="J20" i="34"/>
  <c r="G20" i="34"/>
  <c r="L19" i="34"/>
  <c r="J19" i="34"/>
  <c r="G19" i="34"/>
  <c r="B19" i="34"/>
  <c r="J18" i="34"/>
  <c r="G18" i="34"/>
  <c r="J17" i="34"/>
  <c r="G17" i="34"/>
  <c r="L16" i="34"/>
  <c r="J16" i="34"/>
  <c r="G16" i="34"/>
  <c r="L15" i="34"/>
  <c r="J15" i="34"/>
  <c r="G15" i="34"/>
  <c r="L14" i="34"/>
  <c r="J14" i="34"/>
  <c r="G14" i="34"/>
  <c r="L13" i="34"/>
  <c r="J13" i="34"/>
  <c r="G13" i="34"/>
  <c r="L12" i="34"/>
  <c r="J12" i="34"/>
  <c r="G12" i="34"/>
  <c r="B12" i="34"/>
  <c r="J11" i="34"/>
  <c r="G11" i="34"/>
  <c r="J10" i="34"/>
  <c r="G10" i="34"/>
  <c r="L9" i="34"/>
  <c r="J9" i="34"/>
  <c r="G9" i="34"/>
  <c r="L8" i="34"/>
  <c r="J8" i="34"/>
  <c r="G8" i="34"/>
  <c r="L7" i="34"/>
  <c r="J7" i="34"/>
  <c r="G7" i="34"/>
  <c r="L6" i="34"/>
  <c r="N6" i="34" s="1"/>
  <c r="J6" i="34"/>
  <c r="G6" i="34"/>
  <c r="L5" i="34"/>
  <c r="N5" i="34" s="1"/>
  <c r="J5" i="34"/>
  <c r="G5" i="34"/>
  <c r="B5" i="34"/>
  <c r="E1" i="34"/>
  <c r="D1" i="34"/>
  <c r="K1048576" i="33"/>
  <c r="G76" i="33"/>
  <c r="H76" i="33" s="1"/>
  <c r="E51" i="33"/>
  <c r="E50" i="33"/>
  <c r="E49" i="33"/>
  <c r="E48" i="33"/>
  <c r="AS47" i="33"/>
  <c r="E47" i="33"/>
  <c r="E46" i="33"/>
  <c r="E45" i="33"/>
  <c r="E44" i="33"/>
  <c r="E43" i="33"/>
  <c r="E42" i="33"/>
  <c r="E41" i="33"/>
  <c r="AR40" i="33"/>
  <c r="AS39" i="33"/>
  <c r="AS40" i="33" s="1"/>
  <c r="AS42" i="33" s="1"/>
  <c r="AR39" i="33"/>
  <c r="L37" i="33"/>
  <c r="J37" i="33"/>
  <c r="G37" i="33"/>
  <c r="AO36" i="33"/>
  <c r="AL36" i="33"/>
  <c r="L36" i="33"/>
  <c r="J36" i="33"/>
  <c r="G36" i="33"/>
  <c r="L35" i="33"/>
  <c r="J35" i="33"/>
  <c r="G35" i="33"/>
  <c r="L34" i="33"/>
  <c r="J34" i="33"/>
  <c r="G34" i="33"/>
  <c r="L33" i="33"/>
  <c r="J33" i="33"/>
  <c r="G33" i="33"/>
  <c r="B33" i="33"/>
  <c r="J32" i="33"/>
  <c r="G32" i="33"/>
  <c r="J31" i="33"/>
  <c r="G31" i="33"/>
  <c r="AR30" i="33"/>
  <c r="L30" i="33"/>
  <c r="J30" i="33"/>
  <c r="G30" i="33"/>
  <c r="AR29" i="33"/>
  <c r="L29" i="33"/>
  <c r="J29" i="33"/>
  <c r="G29" i="33"/>
  <c r="L28" i="33"/>
  <c r="J28" i="33"/>
  <c r="G28" i="33"/>
  <c r="AR27" i="33"/>
  <c r="L27" i="33"/>
  <c r="J27" i="33"/>
  <c r="G27" i="33"/>
  <c r="L26" i="33"/>
  <c r="J26" i="33"/>
  <c r="G26" i="33"/>
  <c r="B26" i="33"/>
  <c r="J25" i="33"/>
  <c r="G25" i="33"/>
  <c r="J24" i="33"/>
  <c r="G24" i="33"/>
  <c r="L23" i="33"/>
  <c r="J23" i="33"/>
  <c r="G23" i="33"/>
  <c r="L22" i="33"/>
  <c r="J22" i="33"/>
  <c r="G22" i="33"/>
  <c r="L21" i="33"/>
  <c r="J21" i="33"/>
  <c r="G21" i="33"/>
  <c r="L20" i="33"/>
  <c r="J20" i="33"/>
  <c r="G20" i="33"/>
  <c r="L19" i="33"/>
  <c r="J19" i="33"/>
  <c r="G19" i="33"/>
  <c r="B19" i="33"/>
  <c r="J18" i="33"/>
  <c r="G18" i="33"/>
  <c r="J17" i="33"/>
  <c r="G17" i="33"/>
  <c r="L16" i="33"/>
  <c r="J16" i="33"/>
  <c r="G16" i="33"/>
  <c r="L15" i="33"/>
  <c r="J15" i="33"/>
  <c r="G15" i="33"/>
  <c r="L14" i="33"/>
  <c r="J14" i="33"/>
  <c r="G14" i="33"/>
  <c r="L13" i="33"/>
  <c r="J13" i="33"/>
  <c r="G13" i="33"/>
  <c r="L12" i="33"/>
  <c r="J12" i="33"/>
  <c r="G12" i="33"/>
  <c r="B12" i="33"/>
  <c r="J11" i="33"/>
  <c r="G11" i="33"/>
  <c r="J10" i="33"/>
  <c r="G10" i="33"/>
  <c r="L9" i="33"/>
  <c r="J9" i="33"/>
  <c r="G9" i="33"/>
  <c r="L8" i="33"/>
  <c r="J8" i="33"/>
  <c r="G8" i="33"/>
  <c r="L7" i="33"/>
  <c r="J7" i="33"/>
  <c r="G7" i="33"/>
  <c r="L6" i="33"/>
  <c r="J6" i="33"/>
  <c r="G6" i="33"/>
  <c r="L5" i="33"/>
  <c r="N5" i="33" s="1"/>
  <c r="J5" i="33"/>
  <c r="G5" i="33"/>
  <c r="B5" i="33"/>
  <c r="E1" i="33"/>
  <c r="D1" i="33"/>
  <c r="K1048576" i="32"/>
  <c r="G76" i="32"/>
  <c r="H76" i="32" s="1"/>
  <c r="E51" i="32"/>
  <c r="E50" i="32"/>
  <c r="E49" i="32"/>
  <c r="E48" i="32"/>
  <c r="AS47" i="32"/>
  <c r="E47" i="32"/>
  <c r="E46" i="32"/>
  <c r="E45" i="32"/>
  <c r="E44" i="32"/>
  <c r="E43" i="32"/>
  <c r="E42" i="32"/>
  <c r="E41" i="32"/>
  <c r="AS39" i="32"/>
  <c r="AS40" i="32" s="1"/>
  <c r="AS42" i="32" s="1"/>
  <c r="AR39" i="32"/>
  <c r="AR30" i="32" s="1"/>
  <c r="L37" i="32"/>
  <c r="J37" i="32"/>
  <c r="G37" i="32"/>
  <c r="AO36" i="32"/>
  <c r="AL36" i="32"/>
  <c r="L36" i="32"/>
  <c r="J36" i="32"/>
  <c r="G36" i="32"/>
  <c r="L35" i="32"/>
  <c r="J35" i="32"/>
  <c r="G35" i="32"/>
  <c r="L34" i="32"/>
  <c r="J34" i="32"/>
  <c r="G34" i="32"/>
  <c r="L33" i="32"/>
  <c r="J33" i="32"/>
  <c r="G33" i="32"/>
  <c r="B33" i="32"/>
  <c r="J32" i="32"/>
  <c r="G32" i="32"/>
  <c r="J31" i="32"/>
  <c r="G31" i="32"/>
  <c r="L30" i="32"/>
  <c r="J30" i="32"/>
  <c r="G30" i="32"/>
  <c r="AR29" i="32"/>
  <c r="L29" i="32"/>
  <c r="J29" i="32"/>
  <c r="G29" i="32"/>
  <c r="L28" i="32"/>
  <c r="J28" i="32"/>
  <c r="G28" i="32"/>
  <c r="AR27" i="32"/>
  <c r="L27" i="32"/>
  <c r="J27" i="32"/>
  <c r="G27" i="32"/>
  <c r="L26" i="32"/>
  <c r="J26" i="32"/>
  <c r="G26" i="32"/>
  <c r="B26" i="32"/>
  <c r="J25" i="32"/>
  <c r="G25" i="32"/>
  <c r="J24" i="32"/>
  <c r="G24" i="32"/>
  <c r="L23" i="32"/>
  <c r="J23" i="32"/>
  <c r="G23" i="32"/>
  <c r="L22" i="32"/>
  <c r="J22" i="32"/>
  <c r="G22" i="32"/>
  <c r="L21" i="32"/>
  <c r="J21" i="32"/>
  <c r="G21" i="32"/>
  <c r="L20" i="32"/>
  <c r="J20" i="32"/>
  <c r="G20" i="32"/>
  <c r="L19" i="32"/>
  <c r="J19" i="32"/>
  <c r="G19" i="32"/>
  <c r="B19" i="32"/>
  <c r="J18" i="32"/>
  <c r="G18" i="32"/>
  <c r="J17" i="32"/>
  <c r="G17" i="32"/>
  <c r="L16" i="32"/>
  <c r="J16" i="32"/>
  <c r="G16" i="32"/>
  <c r="L15" i="32"/>
  <c r="J15" i="32"/>
  <c r="G15" i="32"/>
  <c r="L14" i="32"/>
  <c r="J14" i="32"/>
  <c r="G14" i="32"/>
  <c r="L13" i="32"/>
  <c r="J13" i="32"/>
  <c r="G13" i="32"/>
  <c r="L12" i="32"/>
  <c r="J12" i="32"/>
  <c r="G12" i="32"/>
  <c r="B12" i="32"/>
  <c r="J11" i="32"/>
  <c r="G11" i="32"/>
  <c r="J10" i="32"/>
  <c r="G10" i="32"/>
  <c r="L9" i="32"/>
  <c r="J9" i="32"/>
  <c r="G9" i="32"/>
  <c r="L8" i="32"/>
  <c r="J8" i="32"/>
  <c r="G8" i="32"/>
  <c r="L7" i="32"/>
  <c r="J7" i="32"/>
  <c r="G7" i="32"/>
  <c r="L6" i="32"/>
  <c r="J6" i="32"/>
  <c r="G6" i="32"/>
  <c r="L5" i="32"/>
  <c r="N5" i="32" s="1"/>
  <c r="J5" i="32"/>
  <c r="G5" i="32"/>
  <c r="B5" i="32"/>
  <c r="E1" i="32"/>
  <c r="D1" i="32"/>
  <c r="N7" i="34" l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31" i="34" s="1"/>
  <c r="N32" i="34" s="1"/>
  <c r="N33" i="34" s="1"/>
  <c r="N34" i="34" s="1"/>
  <c r="N35" i="34" s="1"/>
  <c r="N36" i="34" s="1"/>
  <c r="N37" i="34" s="1"/>
  <c r="AS46" i="34"/>
  <c r="AS44" i="34"/>
  <c r="L38" i="34"/>
  <c r="AQ4" i="34" s="1"/>
  <c r="E40" i="33"/>
  <c r="N6" i="33"/>
  <c r="AS44" i="33"/>
  <c r="N7" i="33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L38" i="33"/>
  <c r="AQ4" i="33" s="1"/>
  <c r="AR42" i="33"/>
  <c r="AS46" i="33" s="1"/>
  <c r="E40" i="32"/>
  <c r="N6" i="32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L38" i="32"/>
  <c r="AQ4" i="32" s="1"/>
  <c r="AR40" i="32"/>
  <c r="K1048576" i="31"/>
  <c r="G76" i="31"/>
  <c r="H76" i="31" s="1"/>
  <c r="E51" i="31"/>
  <c r="E50" i="31"/>
  <c r="E49" i="31"/>
  <c r="E48" i="31"/>
  <c r="AS47" i="31"/>
  <c r="E47" i="31"/>
  <c r="E46" i="31"/>
  <c r="E45" i="31"/>
  <c r="E44" i="31"/>
  <c r="E43" i="31"/>
  <c r="E42" i="31"/>
  <c r="E41" i="31"/>
  <c r="AS39" i="31"/>
  <c r="AS40" i="31" s="1"/>
  <c r="AS42" i="31" s="1"/>
  <c r="AR39" i="31"/>
  <c r="AR40" i="31" s="1"/>
  <c r="AS44" i="31" s="1"/>
  <c r="L37" i="31"/>
  <c r="J37" i="31"/>
  <c r="G37" i="31"/>
  <c r="AO36" i="31"/>
  <c r="AL36" i="31"/>
  <c r="L36" i="31"/>
  <c r="J36" i="31"/>
  <c r="G36" i="31"/>
  <c r="L35" i="31"/>
  <c r="J35" i="31"/>
  <c r="G35" i="31"/>
  <c r="L34" i="31"/>
  <c r="J34" i="31"/>
  <c r="G34" i="31"/>
  <c r="L33" i="31"/>
  <c r="J33" i="31"/>
  <c r="G33" i="31"/>
  <c r="B33" i="31"/>
  <c r="J32" i="31"/>
  <c r="G32" i="31"/>
  <c r="J31" i="31"/>
  <c r="G31" i="31"/>
  <c r="L30" i="31"/>
  <c r="J30" i="31"/>
  <c r="G30" i="31"/>
  <c r="AR29" i="31"/>
  <c r="L29" i="31"/>
  <c r="J29" i="31"/>
  <c r="G29" i="31"/>
  <c r="L28" i="31"/>
  <c r="J28" i="31"/>
  <c r="G28" i="31"/>
  <c r="AR27" i="31"/>
  <c r="L27" i="31"/>
  <c r="J27" i="31"/>
  <c r="G27" i="31"/>
  <c r="L26" i="31"/>
  <c r="J26" i="31"/>
  <c r="G26" i="31"/>
  <c r="B26" i="31"/>
  <c r="J25" i="31"/>
  <c r="G25" i="31"/>
  <c r="J24" i="31"/>
  <c r="G24" i="31"/>
  <c r="L23" i="31"/>
  <c r="J23" i="31"/>
  <c r="G23" i="31"/>
  <c r="L22" i="31"/>
  <c r="J22" i="31"/>
  <c r="G22" i="31"/>
  <c r="L21" i="31"/>
  <c r="J21" i="31"/>
  <c r="G21" i="31"/>
  <c r="L20" i="31"/>
  <c r="J20" i="31"/>
  <c r="G20" i="31"/>
  <c r="L19" i="31"/>
  <c r="J19" i="31"/>
  <c r="G19" i="31"/>
  <c r="B19" i="31"/>
  <c r="J18" i="31"/>
  <c r="G18" i="31"/>
  <c r="J17" i="31"/>
  <c r="G17" i="31"/>
  <c r="L16" i="31"/>
  <c r="J16" i="31"/>
  <c r="G16" i="31"/>
  <c r="L15" i="31"/>
  <c r="J15" i="31"/>
  <c r="G15" i="31"/>
  <c r="L14" i="31"/>
  <c r="J14" i="31"/>
  <c r="G14" i="31"/>
  <c r="L13" i="31"/>
  <c r="J13" i="31"/>
  <c r="G13" i="31"/>
  <c r="L12" i="31"/>
  <c r="J12" i="31"/>
  <c r="G12" i="31"/>
  <c r="B12" i="31"/>
  <c r="J11" i="31"/>
  <c r="G11" i="31"/>
  <c r="J10" i="31"/>
  <c r="G10" i="31"/>
  <c r="L9" i="31"/>
  <c r="J9" i="31"/>
  <c r="G9" i="31"/>
  <c r="L8" i="31"/>
  <c r="J8" i="31"/>
  <c r="G8" i="31"/>
  <c r="L7" i="31"/>
  <c r="J7" i="31"/>
  <c r="G7" i="31"/>
  <c r="L6" i="31"/>
  <c r="J6" i="31"/>
  <c r="G6" i="31"/>
  <c r="L5" i="31"/>
  <c r="N5" i="31" s="1"/>
  <c r="J5" i="31"/>
  <c r="G5" i="31"/>
  <c r="B5" i="31"/>
  <c r="E1" i="31"/>
  <c r="D1" i="31"/>
  <c r="AR30" i="31" l="1"/>
  <c r="AS44" i="32"/>
  <c r="AR42" i="32"/>
  <c r="AS46" i="32" s="1"/>
  <c r="N6" i="3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E40" i="31"/>
  <c r="L38" i="31"/>
  <c r="AQ4" i="31" s="1"/>
  <c r="AR42" i="31"/>
  <c r="AS46" i="31" s="1"/>
  <c r="G20" i="30"/>
  <c r="K1048576" i="30" l="1"/>
  <c r="G76" i="30"/>
  <c r="H76" i="30" s="1"/>
  <c r="E51" i="30"/>
  <c r="E50" i="30"/>
  <c r="E49" i="30"/>
  <c r="E48" i="30"/>
  <c r="AS47" i="30"/>
  <c r="E47" i="30"/>
  <c r="E46" i="30"/>
  <c r="E45" i="30"/>
  <c r="E44" i="30"/>
  <c r="E43" i="30"/>
  <c r="E42" i="30"/>
  <c r="E41" i="30"/>
  <c r="AS39" i="30"/>
  <c r="AS40" i="30" s="1"/>
  <c r="AS42" i="30" s="1"/>
  <c r="AR39" i="30"/>
  <c r="AR40" i="30" s="1"/>
  <c r="L37" i="30"/>
  <c r="J37" i="30"/>
  <c r="G37" i="30"/>
  <c r="AO36" i="30"/>
  <c r="AL36" i="30"/>
  <c r="L36" i="30"/>
  <c r="J36" i="30"/>
  <c r="G36" i="30"/>
  <c r="L35" i="30"/>
  <c r="J35" i="30"/>
  <c r="G35" i="30"/>
  <c r="L34" i="30"/>
  <c r="J34" i="30"/>
  <c r="G34" i="30"/>
  <c r="L33" i="30"/>
  <c r="J33" i="30"/>
  <c r="G33" i="30"/>
  <c r="B33" i="30"/>
  <c r="J32" i="30"/>
  <c r="G32" i="30"/>
  <c r="J31" i="30"/>
  <c r="G31" i="30"/>
  <c r="L30" i="30"/>
  <c r="J30" i="30"/>
  <c r="G30" i="30"/>
  <c r="AR29" i="30"/>
  <c r="L29" i="30"/>
  <c r="J29" i="30"/>
  <c r="G29" i="30"/>
  <c r="L28" i="30"/>
  <c r="J28" i="30"/>
  <c r="G28" i="30"/>
  <c r="AR27" i="30"/>
  <c r="L27" i="30"/>
  <c r="J27" i="30"/>
  <c r="G27" i="30"/>
  <c r="L26" i="30"/>
  <c r="J26" i="30"/>
  <c r="G26" i="30"/>
  <c r="B26" i="30"/>
  <c r="J25" i="30"/>
  <c r="G25" i="30"/>
  <c r="J24" i="30"/>
  <c r="G24" i="30"/>
  <c r="L23" i="30"/>
  <c r="J23" i="30"/>
  <c r="G23" i="30"/>
  <c r="L22" i="30"/>
  <c r="J22" i="30"/>
  <c r="G22" i="30"/>
  <c r="L21" i="30"/>
  <c r="J21" i="30"/>
  <c r="G21" i="30"/>
  <c r="L20" i="30"/>
  <c r="J20" i="30"/>
  <c r="L19" i="30"/>
  <c r="J19" i="30"/>
  <c r="G19" i="30"/>
  <c r="B19" i="30"/>
  <c r="J18" i="30"/>
  <c r="G18" i="30"/>
  <c r="J17" i="30"/>
  <c r="G17" i="30"/>
  <c r="L16" i="30"/>
  <c r="J16" i="30"/>
  <c r="G16" i="30"/>
  <c r="L15" i="30"/>
  <c r="J15" i="30"/>
  <c r="G15" i="30"/>
  <c r="L14" i="30"/>
  <c r="J14" i="30"/>
  <c r="G14" i="30"/>
  <c r="L13" i="30"/>
  <c r="J13" i="30"/>
  <c r="G13" i="30"/>
  <c r="L12" i="30"/>
  <c r="J12" i="30"/>
  <c r="G12" i="30"/>
  <c r="B12" i="30"/>
  <c r="J11" i="30"/>
  <c r="G11" i="30"/>
  <c r="J10" i="30"/>
  <c r="G10" i="30"/>
  <c r="L9" i="30"/>
  <c r="J9" i="30"/>
  <c r="G9" i="30"/>
  <c r="L8" i="30"/>
  <c r="J8" i="30"/>
  <c r="G8" i="30"/>
  <c r="J7" i="30"/>
  <c r="G7" i="30"/>
  <c r="J6" i="30"/>
  <c r="G6" i="30"/>
  <c r="N5" i="30"/>
  <c r="J5" i="30"/>
  <c r="G5" i="30"/>
  <c r="B5" i="30"/>
  <c r="E1" i="30"/>
  <c r="D1" i="30"/>
  <c r="AR30" i="30" l="1"/>
  <c r="E40" i="30"/>
  <c r="N6" i="30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N19" i="30" s="1"/>
  <c r="N20" i="30" s="1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N35" i="30" s="1"/>
  <c r="N36" i="30" s="1"/>
  <c r="N37" i="30" s="1"/>
  <c r="AS44" i="30"/>
  <c r="L38" i="30"/>
  <c r="AQ4" i="30" s="1"/>
  <c r="AR42" i="30"/>
  <c r="AS46" i="30" s="1"/>
  <c r="G19" i="29" l="1"/>
  <c r="G76" i="29" l="1"/>
  <c r="H76" i="29" s="1"/>
  <c r="L5" i="29" l="1"/>
  <c r="N5" i="29" s="1"/>
  <c r="N6" i="29" s="1"/>
  <c r="L6" i="29"/>
  <c r="L7" i="29"/>
  <c r="L8" i="29"/>
  <c r="K1048576" i="29"/>
  <c r="E51" i="29"/>
  <c r="E50" i="29"/>
  <c r="E49" i="29"/>
  <c r="E48" i="29"/>
  <c r="AS47" i="29"/>
  <c r="E47" i="29"/>
  <c r="E46" i="29"/>
  <c r="E45" i="29"/>
  <c r="E44" i="29"/>
  <c r="E43" i="29"/>
  <c r="E42" i="29"/>
  <c r="E41" i="29"/>
  <c r="AS39" i="29"/>
  <c r="AS40" i="29" s="1"/>
  <c r="AS42" i="29" s="1"/>
  <c r="AR39" i="29"/>
  <c r="AR40" i="29" s="1"/>
  <c r="L37" i="29"/>
  <c r="J37" i="29"/>
  <c r="G37" i="29"/>
  <c r="AO36" i="29"/>
  <c r="AL36" i="29"/>
  <c r="L36" i="29"/>
  <c r="J36" i="29"/>
  <c r="G36" i="29"/>
  <c r="L35" i="29"/>
  <c r="J35" i="29"/>
  <c r="G35" i="29"/>
  <c r="L34" i="29"/>
  <c r="J34" i="29"/>
  <c r="G34" i="29"/>
  <c r="L33" i="29"/>
  <c r="J33" i="29"/>
  <c r="G33" i="29"/>
  <c r="B33" i="29"/>
  <c r="J32" i="29"/>
  <c r="G32" i="29"/>
  <c r="J31" i="29"/>
  <c r="G31" i="29"/>
  <c r="L30" i="29"/>
  <c r="J30" i="29"/>
  <c r="G30" i="29"/>
  <c r="AR29" i="29"/>
  <c r="L29" i="29"/>
  <c r="J29" i="29"/>
  <c r="G29" i="29"/>
  <c r="L28" i="29"/>
  <c r="J28" i="29"/>
  <c r="G28" i="29"/>
  <c r="AR27" i="29"/>
  <c r="L27" i="29"/>
  <c r="J27" i="29"/>
  <c r="G27" i="29"/>
  <c r="L26" i="29"/>
  <c r="J26" i="29"/>
  <c r="G26" i="29"/>
  <c r="B26" i="29"/>
  <c r="J25" i="29"/>
  <c r="G25" i="29"/>
  <c r="J24" i="29"/>
  <c r="G24" i="29"/>
  <c r="L23" i="29"/>
  <c r="J23" i="29"/>
  <c r="G23" i="29"/>
  <c r="L22" i="29"/>
  <c r="J22" i="29"/>
  <c r="G22" i="29"/>
  <c r="L21" i="29"/>
  <c r="J21" i="29"/>
  <c r="G21" i="29"/>
  <c r="L20" i="29"/>
  <c r="J20" i="29"/>
  <c r="G20" i="29"/>
  <c r="L19" i="29"/>
  <c r="J19" i="29"/>
  <c r="B19" i="29"/>
  <c r="J18" i="29"/>
  <c r="G18" i="29"/>
  <c r="J17" i="29"/>
  <c r="G17" i="29"/>
  <c r="L16" i="29"/>
  <c r="J16" i="29"/>
  <c r="G16" i="29"/>
  <c r="L15" i="29"/>
  <c r="J15" i="29"/>
  <c r="G15" i="29"/>
  <c r="L14" i="29"/>
  <c r="J14" i="29"/>
  <c r="G14" i="29"/>
  <c r="L13" i="29"/>
  <c r="J13" i="29"/>
  <c r="G13" i="29"/>
  <c r="L12" i="29"/>
  <c r="J12" i="29"/>
  <c r="G12" i="29"/>
  <c r="B12" i="29"/>
  <c r="J11" i="29"/>
  <c r="G11" i="29"/>
  <c r="J10" i="29"/>
  <c r="G10" i="29"/>
  <c r="L9" i="29"/>
  <c r="J9" i="29"/>
  <c r="G9" i="29"/>
  <c r="J8" i="29"/>
  <c r="G8" i="29"/>
  <c r="J7" i="29"/>
  <c r="G7" i="29"/>
  <c r="J6" i="29"/>
  <c r="G6" i="29"/>
  <c r="J5" i="29"/>
  <c r="G5" i="29"/>
  <c r="B5" i="29"/>
  <c r="E1" i="29"/>
  <c r="D1" i="29"/>
  <c r="AR30" i="29" l="1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E40" i="29"/>
  <c r="L38" i="29"/>
  <c r="AQ4" i="29" s="1"/>
  <c r="AS44" i="29"/>
  <c r="AR42" i="29"/>
  <c r="AS46" i="29" s="1"/>
  <c r="E43" i="28"/>
  <c r="E42" i="28"/>
  <c r="E41" i="28"/>
  <c r="E45" i="28"/>
  <c r="N31" i="29" l="1"/>
  <c r="N32" i="29" s="1"/>
  <c r="N33" i="29" s="1"/>
  <c r="N34" i="29" s="1"/>
  <c r="N35" i="29" s="1"/>
  <c r="N36" i="29" s="1"/>
  <c r="N37" i="29" s="1"/>
  <c r="K1048576" i="28"/>
  <c r="E51" i="28"/>
  <c r="E50" i="28"/>
  <c r="E49" i="28"/>
  <c r="E48" i="28"/>
  <c r="AS47" i="28"/>
  <c r="E47" i="28"/>
  <c r="E46" i="28"/>
  <c r="E44" i="28"/>
  <c r="AS39" i="28"/>
  <c r="AS40" i="28" s="1"/>
  <c r="AS42" i="28" s="1"/>
  <c r="AR39" i="28"/>
  <c r="AR40" i="28" s="1"/>
  <c r="L37" i="28"/>
  <c r="J37" i="28"/>
  <c r="G37" i="28"/>
  <c r="AO36" i="28"/>
  <c r="AL36" i="28"/>
  <c r="L36" i="28"/>
  <c r="J36" i="28"/>
  <c r="G36" i="28"/>
  <c r="L35" i="28"/>
  <c r="J35" i="28"/>
  <c r="G35" i="28"/>
  <c r="L34" i="28"/>
  <c r="J34" i="28"/>
  <c r="G34" i="28"/>
  <c r="L33" i="28"/>
  <c r="J33" i="28"/>
  <c r="G33" i="28"/>
  <c r="B33" i="28"/>
  <c r="J32" i="28"/>
  <c r="G32" i="28"/>
  <c r="J31" i="28"/>
  <c r="G31" i="28"/>
  <c r="L30" i="28"/>
  <c r="J30" i="28"/>
  <c r="G30" i="28"/>
  <c r="AR29" i="28"/>
  <c r="L29" i="28"/>
  <c r="J29" i="28"/>
  <c r="G29" i="28"/>
  <c r="L28" i="28"/>
  <c r="J28" i="28"/>
  <c r="G28" i="28"/>
  <c r="AR27" i="28"/>
  <c r="L27" i="28"/>
  <c r="J27" i="28"/>
  <c r="G27" i="28"/>
  <c r="L26" i="28"/>
  <c r="J26" i="28"/>
  <c r="G26" i="28"/>
  <c r="B26" i="28"/>
  <c r="J25" i="28"/>
  <c r="G25" i="28"/>
  <c r="J24" i="28"/>
  <c r="G24" i="28"/>
  <c r="L23" i="28"/>
  <c r="J23" i="28"/>
  <c r="G23" i="28"/>
  <c r="L22" i="28"/>
  <c r="J22" i="28"/>
  <c r="G22" i="28"/>
  <c r="L21" i="28"/>
  <c r="J21" i="28"/>
  <c r="G21" i="28"/>
  <c r="L20" i="28"/>
  <c r="J20" i="28"/>
  <c r="G20" i="28"/>
  <c r="L19" i="28"/>
  <c r="J19" i="28"/>
  <c r="G19" i="28"/>
  <c r="B19" i="28"/>
  <c r="J18" i="28"/>
  <c r="G18" i="28"/>
  <c r="J17" i="28"/>
  <c r="G17" i="28"/>
  <c r="L16" i="28"/>
  <c r="J16" i="28"/>
  <c r="G16" i="28"/>
  <c r="L15" i="28"/>
  <c r="J15" i="28"/>
  <c r="G15" i="28"/>
  <c r="L14" i="28"/>
  <c r="J14" i="28"/>
  <c r="G14" i="28"/>
  <c r="L13" i="28"/>
  <c r="J13" i="28"/>
  <c r="G13" i="28"/>
  <c r="L12" i="28"/>
  <c r="J12" i="28"/>
  <c r="G12" i="28"/>
  <c r="B12" i="28"/>
  <c r="J11" i="28"/>
  <c r="G11" i="28"/>
  <c r="J10" i="28"/>
  <c r="G10" i="28"/>
  <c r="L9" i="28"/>
  <c r="J9" i="28"/>
  <c r="G9" i="28"/>
  <c r="J8" i="28"/>
  <c r="G8" i="28"/>
  <c r="N7" i="28"/>
  <c r="J7" i="28"/>
  <c r="G7" i="28"/>
  <c r="J6" i="28"/>
  <c r="G6" i="28"/>
  <c r="J5" i="28"/>
  <c r="G5" i="28"/>
  <c r="B5" i="28"/>
  <c r="E1" i="28"/>
  <c r="D1" i="28"/>
  <c r="L38" i="28" l="1"/>
  <c r="E40" i="28"/>
  <c r="N8" i="28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AQ4" i="28"/>
  <c r="AS44" i="28"/>
  <c r="AR30" i="28"/>
  <c r="AR42" i="28"/>
  <c r="AS46" i="28" s="1"/>
  <c r="L33" i="27"/>
  <c r="L34" i="27"/>
  <c r="L35" i="27"/>
  <c r="E46" i="27" l="1"/>
  <c r="E45" i="27" l="1"/>
  <c r="G20" i="27" l="1"/>
  <c r="L36" i="27" l="1"/>
  <c r="E44" i="27"/>
  <c r="E43" i="27"/>
  <c r="E42" i="27"/>
  <c r="E41" i="27"/>
  <c r="K1048576" i="27" l="1"/>
  <c r="E51" i="27"/>
  <c r="E50" i="27"/>
  <c r="E49" i="27"/>
  <c r="E48" i="27"/>
  <c r="AS47" i="27"/>
  <c r="E47" i="27"/>
  <c r="AS40" i="27"/>
  <c r="AS42" i="27" s="1"/>
  <c r="AS39" i="27"/>
  <c r="AR39" i="27"/>
  <c r="AR40" i="27" s="1"/>
  <c r="L37" i="27"/>
  <c r="J37" i="27"/>
  <c r="G37" i="27"/>
  <c r="AO36" i="27"/>
  <c r="AL36" i="27"/>
  <c r="J36" i="27"/>
  <c r="G36" i="27"/>
  <c r="J35" i="27"/>
  <c r="G35" i="27"/>
  <c r="J34" i="27"/>
  <c r="G34" i="27"/>
  <c r="J33" i="27"/>
  <c r="G33" i="27"/>
  <c r="B33" i="27"/>
  <c r="L32" i="27"/>
  <c r="J32" i="27"/>
  <c r="G32" i="27"/>
  <c r="L31" i="27"/>
  <c r="J31" i="27"/>
  <c r="G31" i="27"/>
  <c r="AR30" i="27"/>
  <c r="L30" i="27"/>
  <c r="J30" i="27"/>
  <c r="G30" i="27"/>
  <c r="AR29" i="27"/>
  <c r="L29" i="27"/>
  <c r="J29" i="27"/>
  <c r="G29" i="27"/>
  <c r="L28" i="27"/>
  <c r="J28" i="27"/>
  <c r="G28" i="27"/>
  <c r="AR27" i="27"/>
  <c r="L27" i="27"/>
  <c r="J27" i="27"/>
  <c r="G27" i="27"/>
  <c r="L26" i="27"/>
  <c r="J26" i="27"/>
  <c r="G26" i="27"/>
  <c r="B26" i="27"/>
  <c r="L25" i="27"/>
  <c r="J25" i="27"/>
  <c r="G25" i="27"/>
  <c r="L24" i="27"/>
  <c r="J24" i="27"/>
  <c r="G24" i="27"/>
  <c r="L23" i="27"/>
  <c r="J23" i="27"/>
  <c r="G23" i="27"/>
  <c r="L22" i="27"/>
  <c r="J22" i="27"/>
  <c r="G22" i="27"/>
  <c r="L21" i="27"/>
  <c r="J21" i="27"/>
  <c r="G21" i="27"/>
  <c r="L20" i="27"/>
  <c r="J20" i="27"/>
  <c r="L19" i="27"/>
  <c r="J19" i="27"/>
  <c r="G19" i="27"/>
  <c r="B19" i="27"/>
  <c r="L18" i="27"/>
  <c r="J18" i="27"/>
  <c r="G18" i="27"/>
  <c r="L17" i="27"/>
  <c r="J17" i="27"/>
  <c r="G17" i="27"/>
  <c r="L16" i="27"/>
  <c r="J16" i="27"/>
  <c r="G16" i="27"/>
  <c r="L15" i="27"/>
  <c r="J15" i="27"/>
  <c r="G15" i="27"/>
  <c r="L14" i="27"/>
  <c r="J14" i="27"/>
  <c r="G14" i="27"/>
  <c r="L13" i="27"/>
  <c r="J13" i="27"/>
  <c r="G13" i="27"/>
  <c r="L12" i="27"/>
  <c r="J12" i="27"/>
  <c r="G12" i="27"/>
  <c r="B12" i="27"/>
  <c r="L11" i="27"/>
  <c r="J11" i="27"/>
  <c r="G11" i="27"/>
  <c r="L10" i="27"/>
  <c r="J10" i="27"/>
  <c r="G10" i="27"/>
  <c r="L9" i="27"/>
  <c r="J9" i="27"/>
  <c r="G9" i="27"/>
  <c r="L8" i="27"/>
  <c r="J8" i="27"/>
  <c r="G8" i="27"/>
  <c r="L7" i="27"/>
  <c r="J7" i="27"/>
  <c r="G7" i="27"/>
  <c r="L6" i="27"/>
  <c r="J6" i="27"/>
  <c r="G6" i="27"/>
  <c r="L5" i="27"/>
  <c r="J5" i="27"/>
  <c r="G5" i="27"/>
  <c r="B5" i="27"/>
  <c r="E1" i="27"/>
  <c r="D1" i="27"/>
  <c r="AS44" i="27" l="1"/>
  <c r="AR42" i="27"/>
  <c r="E40" i="27"/>
  <c r="N7" i="27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N35" i="27" s="1"/>
  <c r="N36" i="27" s="1"/>
  <c r="N37" i="27" s="1"/>
  <c r="AS46" i="27"/>
  <c r="L38" i="27"/>
  <c r="AQ4" i="27" s="1"/>
  <c r="G27" i="26"/>
  <c r="E1" i="26" l="1"/>
  <c r="K1048576" i="26" l="1"/>
  <c r="E51" i="26"/>
  <c r="E50" i="26"/>
  <c r="E49" i="26"/>
  <c r="E48" i="26"/>
  <c r="AS47" i="26"/>
  <c r="E47" i="26"/>
  <c r="E46" i="26"/>
  <c r="E45" i="26"/>
  <c r="E44" i="26"/>
  <c r="E43" i="26"/>
  <c r="E42" i="26"/>
  <c r="E41" i="26"/>
  <c r="AR40" i="26"/>
  <c r="AS39" i="26"/>
  <c r="AR30" i="26" s="1"/>
  <c r="AR39" i="26"/>
  <c r="L37" i="26"/>
  <c r="J37" i="26"/>
  <c r="G37" i="26"/>
  <c r="AO36" i="26"/>
  <c r="AL36" i="26"/>
  <c r="L36" i="26"/>
  <c r="J36" i="26"/>
  <c r="G36" i="26"/>
  <c r="L35" i="26"/>
  <c r="J35" i="26"/>
  <c r="G35" i="26"/>
  <c r="L34" i="26"/>
  <c r="J34" i="26"/>
  <c r="G34" i="26"/>
  <c r="L33" i="26"/>
  <c r="J33" i="26"/>
  <c r="G33" i="26"/>
  <c r="B33" i="26"/>
  <c r="L32" i="26"/>
  <c r="J32" i="26"/>
  <c r="G32" i="26"/>
  <c r="L31" i="26"/>
  <c r="J31" i="26"/>
  <c r="G31" i="26"/>
  <c r="L30" i="26"/>
  <c r="J30" i="26"/>
  <c r="G30" i="26"/>
  <c r="AR29" i="26"/>
  <c r="L29" i="26"/>
  <c r="J29" i="26"/>
  <c r="G29" i="26"/>
  <c r="L28" i="26"/>
  <c r="J28" i="26"/>
  <c r="G28" i="26"/>
  <c r="AR27" i="26"/>
  <c r="L27" i="26"/>
  <c r="J27" i="26"/>
  <c r="L26" i="26"/>
  <c r="J26" i="26"/>
  <c r="G26" i="26"/>
  <c r="B26" i="26"/>
  <c r="L25" i="26"/>
  <c r="J25" i="26"/>
  <c r="G25" i="26"/>
  <c r="L24" i="26"/>
  <c r="J24" i="26"/>
  <c r="G24" i="26"/>
  <c r="L23" i="26"/>
  <c r="J23" i="26"/>
  <c r="G23" i="26"/>
  <c r="L22" i="26"/>
  <c r="J22" i="26"/>
  <c r="G22" i="26"/>
  <c r="L21" i="26"/>
  <c r="J21" i="26"/>
  <c r="G21" i="26"/>
  <c r="L20" i="26"/>
  <c r="J20" i="26"/>
  <c r="G20" i="26"/>
  <c r="L19" i="26"/>
  <c r="J19" i="26"/>
  <c r="G19" i="26"/>
  <c r="B19" i="26"/>
  <c r="L18" i="26"/>
  <c r="J18" i="26"/>
  <c r="G18" i="26"/>
  <c r="L17" i="26"/>
  <c r="J17" i="26"/>
  <c r="G17" i="26"/>
  <c r="L16" i="26"/>
  <c r="J16" i="26"/>
  <c r="G16" i="26"/>
  <c r="L15" i="26"/>
  <c r="J15" i="26"/>
  <c r="G15" i="26"/>
  <c r="L14" i="26"/>
  <c r="J14" i="26"/>
  <c r="G14" i="26"/>
  <c r="L13" i="26"/>
  <c r="J13" i="26"/>
  <c r="G13" i="26"/>
  <c r="L12" i="26"/>
  <c r="J12" i="26"/>
  <c r="G12" i="26"/>
  <c r="B12" i="26"/>
  <c r="L11" i="26"/>
  <c r="J11" i="26"/>
  <c r="G11" i="26"/>
  <c r="L10" i="26"/>
  <c r="J10" i="26"/>
  <c r="G10" i="26"/>
  <c r="L9" i="26"/>
  <c r="J9" i="26"/>
  <c r="G9" i="26"/>
  <c r="L8" i="26"/>
  <c r="J8" i="26"/>
  <c r="G8" i="26"/>
  <c r="L7" i="26"/>
  <c r="J7" i="26"/>
  <c r="G7" i="26"/>
  <c r="L6" i="26"/>
  <c r="J6" i="26"/>
  <c r="G6" i="26"/>
  <c r="L5" i="26"/>
  <c r="N5" i="26" s="1"/>
  <c r="J5" i="26"/>
  <c r="G5" i="26"/>
  <c r="B5" i="26"/>
  <c r="D1" i="26"/>
  <c r="N6" i="26" l="1"/>
  <c r="N7" i="26" s="1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E40" i="26"/>
  <c r="L38" i="26"/>
  <c r="AQ4" i="26" s="1"/>
  <c r="AS40" i="26"/>
  <c r="AS42" i="26" s="1"/>
  <c r="AR42" i="26"/>
  <c r="AS46" i="26" s="1"/>
  <c r="L23" i="24"/>
  <c r="AS44" i="26" l="1"/>
  <c r="L22" i="24"/>
  <c r="K1048576" i="24" l="1"/>
  <c r="E51" i="24"/>
  <c r="E50" i="24"/>
  <c r="E49" i="24"/>
  <c r="E48" i="24"/>
  <c r="AS47" i="24"/>
  <c r="E47" i="24"/>
  <c r="E46" i="24"/>
  <c r="E45" i="24"/>
  <c r="E44" i="24"/>
  <c r="E43" i="24"/>
  <c r="E42" i="24"/>
  <c r="E41" i="24"/>
  <c r="AS39" i="24"/>
  <c r="AR39" i="24"/>
  <c r="AR40" i="24" s="1"/>
  <c r="L37" i="24"/>
  <c r="J37" i="24"/>
  <c r="G37" i="24"/>
  <c r="AO36" i="24"/>
  <c r="AL36" i="24"/>
  <c r="L36" i="24"/>
  <c r="J36" i="24"/>
  <c r="G36" i="24"/>
  <c r="L35" i="24"/>
  <c r="J35" i="24"/>
  <c r="G35" i="24"/>
  <c r="L34" i="24"/>
  <c r="J34" i="24"/>
  <c r="G34" i="24"/>
  <c r="L33" i="24"/>
  <c r="J33" i="24"/>
  <c r="G33" i="24"/>
  <c r="B33" i="24"/>
  <c r="L32" i="24"/>
  <c r="J32" i="24"/>
  <c r="G32" i="24"/>
  <c r="L31" i="24"/>
  <c r="J31" i="24"/>
  <c r="G31" i="24"/>
  <c r="L30" i="24"/>
  <c r="J30" i="24"/>
  <c r="G30" i="24"/>
  <c r="AR29" i="24"/>
  <c r="L29" i="24"/>
  <c r="J29" i="24"/>
  <c r="G29" i="24"/>
  <c r="L28" i="24"/>
  <c r="J28" i="24"/>
  <c r="G28" i="24"/>
  <c r="AR27" i="24"/>
  <c r="L27" i="24"/>
  <c r="J27" i="24"/>
  <c r="G27" i="24"/>
  <c r="L26" i="24"/>
  <c r="J26" i="24"/>
  <c r="G26" i="24"/>
  <c r="B26" i="24"/>
  <c r="L25" i="24"/>
  <c r="J25" i="24"/>
  <c r="G25" i="24"/>
  <c r="L24" i="24"/>
  <c r="J24" i="24"/>
  <c r="G24" i="24"/>
  <c r="J23" i="24"/>
  <c r="G23" i="24"/>
  <c r="J22" i="24"/>
  <c r="G22" i="24"/>
  <c r="L21" i="24"/>
  <c r="J21" i="24"/>
  <c r="G21" i="24"/>
  <c r="L20" i="24"/>
  <c r="J20" i="24"/>
  <c r="G20" i="24"/>
  <c r="L19" i="24"/>
  <c r="J19" i="24"/>
  <c r="G19" i="24"/>
  <c r="B19" i="24"/>
  <c r="L18" i="24"/>
  <c r="J18" i="24"/>
  <c r="G18" i="24"/>
  <c r="L17" i="24"/>
  <c r="J17" i="24"/>
  <c r="G17" i="24"/>
  <c r="L16" i="24"/>
  <c r="J16" i="24"/>
  <c r="G16" i="24"/>
  <c r="L15" i="24"/>
  <c r="J15" i="24"/>
  <c r="G15" i="24"/>
  <c r="L14" i="24"/>
  <c r="J14" i="24"/>
  <c r="G14" i="24"/>
  <c r="L13" i="24"/>
  <c r="J13" i="24"/>
  <c r="G13" i="24"/>
  <c r="L12" i="24"/>
  <c r="J12" i="24"/>
  <c r="G12" i="24"/>
  <c r="B12" i="24"/>
  <c r="L11" i="24"/>
  <c r="J11" i="24"/>
  <c r="G11" i="24"/>
  <c r="L10" i="24"/>
  <c r="J10" i="24"/>
  <c r="G10" i="24"/>
  <c r="L9" i="24"/>
  <c r="J9" i="24"/>
  <c r="G9" i="24"/>
  <c r="L8" i="24"/>
  <c r="J8" i="24"/>
  <c r="G8" i="24"/>
  <c r="L7" i="24"/>
  <c r="J7" i="24"/>
  <c r="G7" i="24"/>
  <c r="L6" i="24"/>
  <c r="J6" i="24"/>
  <c r="G6" i="24"/>
  <c r="L5" i="24"/>
  <c r="N5" i="24" s="1"/>
  <c r="J5" i="24"/>
  <c r="G5" i="24"/>
  <c r="B5" i="24"/>
  <c r="E1" i="24"/>
  <c r="D1" i="24"/>
  <c r="AR30" i="24" l="1"/>
  <c r="AS40" i="24"/>
  <c r="AS42" i="24" s="1"/>
  <c r="E40" i="24"/>
  <c r="L38" i="24"/>
  <c r="AQ4" i="24" s="1"/>
  <c r="N6" i="24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N35" i="24" s="1"/>
  <c r="N36" i="24" s="1"/>
  <c r="N37" i="24" s="1"/>
  <c r="AR42" i="24"/>
  <c r="AS46" i="24" s="1"/>
  <c r="L10" i="22"/>
  <c r="L11" i="22"/>
  <c r="L12" i="22"/>
  <c r="L13" i="22"/>
  <c r="L14" i="22"/>
  <c r="L15" i="22"/>
  <c r="L16" i="22"/>
  <c r="L17" i="22"/>
  <c r="L18" i="22"/>
  <c r="L19" i="22"/>
  <c r="L20" i="22"/>
  <c r="L21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AS44" i="24" l="1"/>
  <c r="AR27" i="22"/>
  <c r="AR29" i="22"/>
  <c r="AS39" i="22"/>
  <c r="AS40" i="22" s="1"/>
  <c r="AS42" i="22" s="1"/>
  <c r="AR39" i="22"/>
  <c r="AR40" i="22" s="1"/>
  <c r="AR42" i="22" s="1"/>
  <c r="AS47" i="22"/>
  <c r="G27" i="22"/>
  <c r="AR30" i="22" l="1"/>
  <c r="AS44" i="22"/>
  <c r="AF26" i="16"/>
  <c r="AF38" i="16" s="1"/>
  <c r="AD40" i="16"/>
  <c r="AS46" i="22" l="1"/>
  <c r="AF40" i="16"/>
  <c r="AH39" i="16" s="1"/>
  <c r="K1048576" i="22"/>
  <c r="E51" i="22"/>
  <c r="E50" i="22"/>
  <c r="E49" i="22"/>
  <c r="E48" i="22"/>
  <c r="E47" i="22"/>
  <c r="E46" i="22"/>
  <c r="E45" i="22"/>
  <c r="E44" i="22"/>
  <c r="E43" i="22"/>
  <c r="E42" i="22"/>
  <c r="E41" i="22"/>
  <c r="L37" i="22"/>
  <c r="J37" i="22"/>
  <c r="G37" i="22"/>
  <c r="AO36" i="22"/>
  <c r="AL36" i="22"/>
  <c r="G36" i="22"/>
  <c r="G35" i="22"/>
  <c r="G34" i="22"/>
  <c r="G33" i="22"/>
  <c r="B33" i="22"/>
  <c r="G32" i="22"/>
  <c r="G31" i="22"/>
  <c r="G30" i="22"/>
  <c r="G29" i="22"/>
  <c r="G28" i="22"/>
  <c r="G26" i="22"/>
  <c r="B26" i="22"/>
  <c r="G25" i="22"/>
  <c r="G24" i="22"/>
  <c r="G23" i="22"/>
  <c r="G22" i="22"/>
  <c r="G21" i="22"/>
  <c r="G20" i="22"/>
  <c r="G19" i="22"/>
  <c r="B19" i="22"/>
  <c r="G18" i="22"/>
  <c r="G17" i="22"/>
  <c r="G16" i="22"/>
  <c r="G15" i="22"/>
  <c r="G14" i="22"/>
  <c r="G13" i="22"/>
  <c r="G12" i="22"/>
  <c r="B12" i="22"/>
  <c r="G11" i="22"/>
  <c r="G10" i="22"/>
  <c r="L9" i="22"/>
  <c r="J9" i="22"/>
  <c r="G9" i="22"/>
  <c r="L8" i="22"/>
  <c r="J8" i="22"/>
  <c r="G8" i="22"/>
  <c r="L7" i="22"/>
  <c r="J7" i="22"/>
  <c r="G7" i="22"/>
  <c r="L6" i="22"/>
  <c r="L38" i="22" s="1"/>
  <c r="J6" i="22"/>
  <c r="G6" i="22"/>
  <c r="L5" i="22"/>
  <c r="N5" i="22" s="1"/>
  <c r="J5" i="22"/>
  <c r="G5" i="22"/>
  <c r="B5" i="22"/>
  <c r="E1" i="22"/>
  <c r="D1" i="22"/>
  <c r="N6" i="22" l="1"/>
  <c r="N7" i="22" s="1"/>
  <c r="N8" i="22" s="1"/>
  <c r="N9" i="22" s="1"/>
  <c r="N10" i="22" s="1"/>
  <c r="N11" i="22" s="1"/>
  <c r="N12" i="22" s="1"/>
  <c r="N13" i="22" s="1"/>
  <c r="N14" i="22" s="1"/>
  <c r="N15" i="22" s="1"/>
  <c r="N16" i="22" s="1"/>
  <c r="N17" i="22" s="1"/>
  <c r="N18" i="22" s="1"/>
  <c r="N19" i="22" s="1"/>
  <c r="N20" i="22" s="1"/>
  <c r="N21" i="22" s="1"/>
  <c r="N22" i="22" s="1"/>
  <c r="N23" i="22" s="1"/>
  <c r="N24" i="22" s="1"/>
  <c r="N25" i="22" s="1"/>
  <c r="N26" i="22" s="1"/>
  <c r="N27" i="22" s="1"/>
  <c r="N28" i="22" s="1"/>
  <c r="N29" i="22" s="1"/>
  <c r="N30" i="22" s="1"/>
  <c r="N31" i="22" s="1"/>
  <c r="N32" i="22" s="1"/>
  <c r="N33" i="22" s="1"/>
  <c r="N34" i="22" s="1"/>
  <c r="N35" i="22" s="1"/>
  <c r="N36" i="22" s="1"/>
  <c r="N37" i="22" s="1"/>
  <c r="AH41" i="16"/>
  <c r="E40" i="22"/>
  <c r="AQ4" i="22"/>
  <c r="J12" i="20"/>
  <c r="AH42" i="16" l="1"/>
  <c r="AG42" i="16" s="1"/>
  <c r="G22" i="20"/>
  <c r="AH40" i="16" l="1"/>
  <c r="K1048576" i="20"/>
  <c r="E51" i="20"/>
  <c r="E50" i="20"/>
  <c r="E49" i="20"/>
  <c r="E48" i="20"/>
  <c r="E47" i="20"/>
  <c r="E46" i="20"/>
  <c r="E45" i="20"/>
  <c r="E44" i="20"/>
  <c r="E43" i="20"/>
  <c r="E42" i="20"/>
  <c r="E41" i="20"/>
  <c r="L37" i="20"/>
  <c r="J37" i="20"/>
  <c r="G37" i="20"/>
  <c r="AO36" i="20"/>
  <c r="AL36" i="20"/>
  <c r="L36" i="20"/>
  <c r="J36" i="20"/>
  <c r="G36" i="20"/>
  <c r="L35" i="20"/>
  <c r="J35" i="20"/>
  <c r="G35" i="20"/>
  <c r="L34" i="20"/>
  <c r="J34" i="20"/>
  <c r="G34" i="20"/>
  <c r="L33" i="20"/>
  <c r="J33" i="20"/>
  <c r="G33" i="20"/>
  <c r="B33" i="20"/>
  <c r="L32" i="20"/>
  <c r="J32" i="20"/>
  <c r="G32" i="20"/>
  <c r="L31" i="20"/>
  <c r="J31" i="20"/>
  <c r="G31" i="20"/>
  <c r="L30" i="20"/>
  <c r="J30" i="20"/>
  <c r="G30" i="20"/>
  <c r="L29" i="20"/>
  <c r="J29" i="20"/>
  <c r="G29" i="20"/>
  <c r="L28" i="20"/>
  <c r="J28" i="20"/>
  <c r="G28" i="20"/>
  <c r="L27" i="20"/>
  <c r="J27" i="20"/>
  <c r="G27" i="20"/>
  <c r="L26" i="20"/>
  <c r="J26" i="20"/>
  <c r="G26" i="20"/>
  <c r="B26" i="20"/>
  <c r="L25" i="20"/>
  <c r="J25" i="20"/>
  <c r="G25" i="20"/>
  <c r="L24" i="20"/>
  <c r="J24" i="20"/>
  <c r="G24" i="20"/>
  <c r="L23" i="20"/>
  <c r="J23" i="20"/>
  <c r="G23" i="20"/>
  <c r="L22" i="20"/>
  <c r="J22" i="20"/>
  <c r="L21" i="20"/>
  <c r="J21" i="20"/>
  <c r="G21" i="20"/>
  <c r="L20" i="20"/>
  <c r="J20" i="20"/>
  <c r="G20" i="20"/>
  <c r="L19" i="20"/>
  <c r="J19" i="20"/>
  <c r="G19" i="20"/>
  <c r="B19" i="20"/>
  <c r="L18" i="20"/>
  <c r="J18" i="20"/>
  <c r="G18" i="20"/>
  <c r="L17" i="20"/>
  <c r="J17" i="20"/>
  <c r="G17" i="20"/>
  <c r="L16" i="20"/>
  <c r="J16" i="20"/>
  <c r="G16" i="20"/>
  <c r="L15" i="20"/>
  <c r="J15" i="20"/>
  <c r="G15" i="20"/>
  <c r="L14" i="20"/>
  <c r="J14" i="20"/>
  <c r="G14" i="20"/>
  <c r="L13" i="20"/>
  <c r="J13" i="20"/>
  <c r="G13" i="20"/>
  <c r="L12" i="20"/>
  <c r="G12" i="20"/>
  <c r="B12" i="20"/>
  <c r="L11" i="20"/>
  <c r="J11" i="20"/>
  <c r="G11" i="20"/>
  <c r="L10" i="20"/>
  <c r="J10" i="20"/>
  <c r="G10" i="20"/>
  <c r="L9" i="20"/>
  <c r="J9" i="20"/>
  <c r="G9" i="20"/>
  <c r="L8" i="20"/>
  <c r="J8" i="20"/>
  <c r="G8" i="20"/>
  <c r="L7" i="20"/>
  <c r="J7" i="20"/>
  <c r="G7" i="20"/>
  <c r="L6" i="20"/>
  <c r="J6" i="20"/>
  <c r="G6" i="20"/>
  <c r="L5" i="20"/>
  <c r="J5" i="20"/>
  <c r="G5" i="20"/>
  <c r="B5" i="20"/>
  <c r="E1" i="20"/>
  <c r="D1" i="20"/>
  <c r="E40" i="20" l="1"/>
  <c r="L38" i="20"/>
  <c r="AQ4" i="20" s="1"/>
  <c r="N5" i="20"/>
  <c r="N6" i="20" s="1"/>
  <c r="N7" i="20" s="1"/>
  <c r="N8" i="20" l="1"/>
  <c r="N9" i="20" s="1"/>
  <c r="N10" i="20" s="1"/>
  <c r="N11" i="20" s="1"/>
  <c r="N12" i="20" s="1"/>
  <c r="N13" i="20" s="1"/>
  <c r="N14" i="20" s="1"/>
  <c r="N15" i="20" s="1"/>
  <c r="N16" i="20" s="1"/>
  <c r="N17" i="20" s="1"/>
  <c r="N18" i="20" s="1"/>
  <c r="N19" i="20" s="1"/>
  <c r="N20" i="20" s="1"/>
  <c r="N21" i="20" s="1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AD36" i="14"/>
  <c r="AF36" i="14" s="1"/>
  <c r="K1048576" i="19" l="1"/>
  <c r="G83" i="19"/>
  <c r="G82" i="19"/>
  <c r="G81" i="19"/>
  <c r="G80" i="19"/>
  <c r="G79" i="19"/>
  <c r="G78" i="19"/>
  <c r="G77" i="19"/>
  <c r="G73" i="19"/>
  <c r="G72" i="19"/>
  <c r="G71" i="19"/>
  <c r="G70" i="19"/>
  <c r="G69" i="19"/>
  <c r="G68" i="19"/>
  <c r="F62" i="19"/>
  <c r="F61" i="19"/>
  <c r="F60" i="19"/>
  <c r="F59" i="19"/>
  <c r="F58" i="19"/>
  <c r="F57" i="19"/>
  <c r="F56" i="19"/>
  <c r="AD54" i="19"/>
  <c r="AC54" i="19"/>
  <c r="AB54" i="19"/>
  <c r="E51" i="19"/>
  <c r="E50" i="19"/>
  <c r="E49" i="19"/>
  <c r="E48" i="19"/>
  <c r="E47" i="19"/>
  <c r="E46" i="19"/>
  <c r="E45" i="19"/>
  <c r="E44" i="19"/>
  <c r="E43" i="19"/>
  <c r="E42" i="19"/>
  <c r="E41" i="19"/>
  <c r="L37" i="19"/>
  <c r="J37" i="19"/>
  <c r="G37" i="19"/>
  <c r="AO36" i="19"/>
  <c r="AL36" i="19"/>
  <c r="L36" i="19"/>
  <c r="J36" i="19"/>
  <c r="G36" i="19"/>
  <c r="L35" i="19"/>
  <c r="J35" i="19"/>
  <c r="G35" i="19"/>
  <c r="L34" i="19"/>
  <c r="J34" i="19"/>
  <c r="G34" i="19"/>
  <c r="L33" i="19"/>
  <c r="J33" i="19"/>
  <c r="G33" i="19"/>
  <c r="B33" i="19"/>
  <c r="L32" i="19"/>
  <c r="J32" i="19"/>
  <c r="G32" i="19"/>
  <c r="L31" i="19"/>
  <c r="J31" i="19"/>
  <c r="G31" i="19"/>
  <c r="L30" i="19"/>
  <c r="J30" i="19"/>
  <c r="G30" i="19"/>
  <c r="L29" i="19"/>
  <c r="J29" i="19"/>
  <c r="G29" i="19"/>
  <c r="AD28" i="19"/>
  <c r="AF28" i="19" s="1"/>
  <c r="L28" i="19"/>
  <c r="J28" i="19"/>
  <c r="G28" i="19"/>
  <c r="L27" i="19"/>
  <c r="J27" i="19"/>
  <c r="G27" i="19"/>
  <c r="L26" i="19"/>
  <c r="J26" i="19"/>
  <c r="G26" i="19"/>
  <c r="B26" i="19"/>
  <c r="L25" i="19"/>
  <c r="J25" i="19"/>
  <c r="G25" i="19"/>
  <c r="L24" i="19"/>
  <c r="J24" i="19"/>
  <c r="G24" i="19"/>
  <c r="L23" i="19"/>
  <c r="J23" i="19"/>
  <c r="G23" i="19"/>
  <c r="L22" i="19"/>
  <c r="J22" i="19"/>
  <c r="G22" i="19"/>
  <c r="L21" i="19"/>
  <c r="J21" i="19"/>
  <c r="G21" i="19"/>
  <c r="AD20" i="19"/>
  <c r="AF20" i="19" s="1"/>
  <c r="L20" i="19"/>
  <c r="J20" i="19"/>
  <c r="G20" i="19"/>
  <c r="AO19" i="19"/>
  <c r="AL19" i="19"/>
  <c r="J19" i="19"/>
  <c r="G19" i="19"/>
  <c r="B19" i="19"/>
  <c r="AO18" i="19"/>
  <c r="AD18" i="19"/>
  <c r="AF18" i="19" s="1"/>
  <c r="J18" i="19"/>
  <c r="G18" i="19"/>
  <c r="J17" i="19"/>
  <c r="G17" i="19"/>
  <c r="J16" i="19"/>
  <c r="G16" i="19"/>
  <c r="J15" i="19"/>
  <c r="G15" i="19"/>
  <c r="J14" i="19"/>
  <c r="G14" i="19"/>
  <c r="J13" i="19"/>
  <c r="G13" i="19"/>
  <c r="J12" i="19"/>
  <c r="G12" i="19"/>
  <c r="B12" i="19"/>
  <c r="J11" i="19"/>
  <c r="G11" i="19"/>
  <c r="L10" i="19"/>
  <c r="J10" i="19"/>
  <c r="G10" i="19"/>
  <c r="L9" i="19"/>
  <c r="J9" i="19"/>
  <c r="G9" i="19"/>
  <c r="L8" i="19"/>
  <c r="J8" i="19"/>
  <c r="G8" i="19"/>
  <c r="AD7" i="19"/>
  <c r="AF7" i="19" s="1"/>
  <c r="L7" i="19"/>
  <c r="J7" i="19"/>
  <c r="G7" i="19"/>
  <c r="L6" i="19"/>
  <c r="J6" i="19"/>
  <c r="G6" i="19"/>
  <c r="L5" i="19"/>
  <c r="J5" i="19"/>
  <c r="G5" i="19"/>
  <c r="B5" i="19"/>
  <c r="E1" i="19"/>
  <c r="D1" i="19"/>
  <c r="E40" i="19" l="1"/>
  <c r="L38" i="19"/>
  <c r="N5" i="19"/>
  <c r="N6" i="19" s="1"/>
  <c r="N7" i="19" s="1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s="1"/>
  <c r="N24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AH19" i="19"/>
  <c r="AH17" i="19"/>
  <c r="AH20" i="19" s="1"/>
  <c r="AH6" i="19"/>
  <c r="AH9" i="19" s="1"/>
  <c r="AG9" i="19" s="1"/>
  <c r="AH8" i="19"/>
  <c r="AH29" i="19"/>
  <c r="AH27" i="19"/>
  <c r="E1" i="18"/>
  <c r="AH30" i="19" l="1"/>
  <c r="AG30" i="19" s="1"/>
  <c r="AH7" i="19"/>
  <c r="AH34" i="19"/>
  <c r="AG20" i="19"/>
  <c r="AH18" i="19"/>
  <c r="K1048576" i="18"/>
  <c r="E51" i="18"/>
  <c r="E50" i="18"/>
  <c r="E49" i="18"/>
  <c r="E48" i="18"/>
  <c r="E47" i="18"/>
  <c r="E46" i="18"/>
  <c r="E45" i="18"/>
  <c r="E44" i="18"/>
  <c r="E43" i="18"/>
  <c r="E42" i="18"/>
  <c r="E41" i="18"/>
  <c r="L37" i="18"/>
  <c r="J37" i="18"/>
  <c r="G37" i="18"/>
  <c r="L36" i="18"/>
  <c r="J36" i="18"/>
  <c r="G36" i="18"/>
  <c r="L35" i="18"/>
  <c r="J35" i="18"/>
  <c r="G35" i="18"/>
  <c r="L34" i="18"/>
  <c r="J34" i="18"/>
  <c r="G34" i="18"/>
  <c r="L33" i="18"/>
  <c r="J33" i="18"/>
  <c r="G33" i="18"/>
  <c r="B33" i="18"/>
  <c r="L32" i="18"/>
  <c r="J32" i="18"/>
  <c r="G32" i="18"/>
  <c r="L31" i="18"/>
  <c r="J31" i="18"/>
  <c r="G31" i="18"/>
  <c r="L30" i="18"/>
  <c r="J30" i="18"/>
  <c r="G30" i="18"/>
  <c r="L29" i="18"/>
  <c r="J29" i="18"/>
  <c r="G29" i="18"/>
  <c r="L28" i="18"/>
  <c r="J28" i="18"/>
  <c r="G28" i="18"/>
  <c r="L27" i="18"/>
  <c r="J27" i="18"/>
  <c r="G27" i="18"/>
  <c r="L26" i="18"/>
  <c r="J26" i="18"/>
  <c r="G26" i="18"/>
  <c r="B26" i="18"/>
  <c r="L25" i="18"/>
  <c r="J25" i="18"/>
  <c r="G25" i="18"/>
  <c r="L24" i="18"/>
  <c r="J24" i="18"/>
  <c r="G24" i="18"/>
  <c r="L23" i="18"/>
  <c r="J23" i="18"/>
  <c r="G23" i="18"/>
  <c r="L22" i="18"/>
  <c r="J22" i="18"/>
  <c r="G22" i="18"/>
  <c r="L21" i="18"/>
  <c r="J21" i="18"/>
  <c r="G21" i="18"/>
  <c r="L20" i="18"/>
  <c r="J20" i="18"/>
  <c r="G20" i="18"/>
  <c r="L19" i="18"/>
  <c r="J19" i="18"/>
  <c r="G19" i="18"/>
  <c r="B19" i="18"/>
  <c r="L18" i="18"/>
  <c r="J18" i="18"/>
  <c r="G18" i="18"/>
  <c r="L17" i="18"/>
  <c r="J17" i="18"/>
  <c r="G17" i="18"/>
  <c r="L16" i="18"/>
  <c r="J16" i="18"/>
  <c r="G16" i="18"/>
  <c r="L15" i="18"/>
  <c r="J15" i="18"/>
  <c r="G15" i="18"/>
  <c r="L14" i="18"/>
  <c r="J14" i="18"/>
  <c r="G14" i="18"/>
  <c r="L13" i="18"/>
  <c r="J13" i="18"/>
  <c r="G13" i="18"/>
  <c r="L12" i="18"/>
  <c r="J12" i="18"/>
  <c r="G12" i="18"/>
  <c r="B12" i="18"/>
  <c r="L11" i="18"/>
  <c r="J11" i="18"/>
  <c r="G11" i="18"/>
  <c r="L10" i="18"/>
  <c r="J10" i="18"/>
  <c r="G10" i="18"/>
  <c r="L9" i="18"/>
  <c r="J9" i="18"/>
  <c r="G9" i="18"/>
  <c r="L8" i="18"/>
  <c r="J8" i="18"/>
  <c r="G8" i="18"/>
  <c r="L7" i="18"/>
  <c r="J7" i="18"/>
  <c r="G7" i="18"/>
  <c r="L6" i="18"/>
  <c r="J6" i="18"/>
  <c r="G6" i="18"/>
  <c r="L5" i="18"/>
  <c r="N5" i="18" s="1"/>
  <c r="J5" i="18"/>
  <c r="G5" i="18"/>
  <c r="B5" i="18"/>
  <c r="D1" i="18"/>
  <c r="AH28" i="19" l="1"/>
  <c r="L38" i="18"/>
  <c r="E40" i="18"/>
  <c r="N6" i="18"/>
  <c r="N7" i="18" s="1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Q4" i="17"/>
  <c r="Q5" i="17"/>
  <c r="Q3" i="17"/>
  <c r="I3" i="17"/>
  <c r="N8" i="18" l="1"/>
  <c r="N9" i="18" s="1"/>
  <c r="N10" i="18" s="1"/>
  <c r="N11" i="18" s="1"/>
  <c r="N12" i="18" s="1"/>
  <c r="N13" i="18" s="1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P17" i="17"/>
  <c r="R17" i="17" s="1"/>
  <c r="P18" i="17"/>
  <c r="R18" i="17" s="1"/>
  <c r="P19" i="17"/>
  <c r="P20" i="17"/>
  <c r="P21" i="17"/>
  <c r="P22" i="17"/>
  <c r="R22" i="17" s="1"/>
  <c r="P23" i="17"/>
  <c r="R23" i="17" s="1"/>
  <c r="P24" i="17"/>
  <c r="R24" i="17" s="1"/>
  <c r="P25" i="17"/>
  <c r="P26" i="17"/>
  <c r="P28" i="17"/>
  <c r="P29" i="17"/>
  <c r="P30" i="17"/>
  <c r="P31" i="17"/>
  <c r="P32" i="17"/>
  <c r="P33" i="17"/>
  <c r="P5" i="17" l="1"/>
  <c r="R5" i="17" s="1"/>
  <c r="AO36" i="14" l="1"/>
  <c r="P6" i="17"/>
  <c r="P7" i="17"/>
  <c r="P8" i="17"/>
  <c r="R8" i="17" s="1"/>
  <c r="P9" i="17"/>
  <c r="R9" i="17" s="1"/>
  <c r="P10" i="17"/>
  <c r="R10" i="17" s="1"/>
  <c r="P11" i="17"/>
  <c r="R11" i="17" s="1"/>
  <c r="P12" i="17"/>
  <c r="R12" i="17" s="1"/>
  <c r="P13" i="17"/>
  <c r="P14" i="17"/>
  <c r="P15" i="17"/>
  <c r="R15" i="17" s="1"/>
  <c r="P16" i="17"/>
  <c r="R16" i="17" s="1"/>
  <c r="S53" i="16"/>
  <c r="S52" i="16" l="1"/>
  <c r="U52" i="16" s="1"/>
  <c r="W52" i="16" s="1"/>
  <c r="G30" i="16" l="1"/>
  <c r="K1048576" i="16" l="1"/>
  <c r="J22" i="16" l="1"/>
  <c r="AO36" i="16" l="1"/>
  <c r="P4" i="17" l="1"/>
  <c r="R4" i="17" s="1"/>
  <c r="P3" i="17"/>
  <c r="P27" i="17" s="1"/>
  <c r="R3" i="17" l="1"/>
  <c r="P35" i="17" s="1"/>
  <c r="E51" i="16"/>
  <c r="E50" i="16"/>
  <c r="E49" i="16"/>
  <c r="E48" i="16"/>
  <c r="E47" i="16"/>
  <c r="E46" i="16"/>
  <c r="E45" i="16"/>
  <c r="E44" i="16"/>
  <c r="E43" i="16"/>
  <c r="E42" i="16"/>
  <c r="E41" i="16"/>
  <c r="L34" i="16"/>
  <c r="L35" i="16"/>
  <c r="L36" i="16"/>
  <c r="L37" i="16"/>
  <c r="J34" i="16"/>
  <c r="J35" i="16"/>
  <c r="J36" i="16"/>
  <c r="J37" i="16"/>
  <c r="G35" i="16"/>
  <c r="G36" i="16"/>
  <c r="G37" i="16"/>
  <c r="AL36" i="16"/>
  <c r="G34" i="16"/>
  <c r="L33" i="16"/>
  <c r="J33" i="16"/>
  <c r="G33" i="16"/>
  <c r="B33" i="16"/>
  <c r="L32" i="16"/>
  <c r="J32" i="16"/>
  <c r="G32" i="16"/>
  <c r="L31" i="16"/>
  <c r="J31" i="16"/>
  <c r="G31" i="16"/>
  <c r="L30" i="16"/>
  <c r="J30" i="16"/>
  <c r="L29" i="16"/>
  <c r="J29" i="16"/>
  <c r="G29" i="16"/>
  <c r="AD28" i="16"/>
  <c r="AF28" i="16" s="1"/>
  <c r="AH29" i="16" s="1"/>
  <c r="L28" i="16"/>
  <c r="J28" i="16"/>
  <c r="G28" i="16"/>
  <c r="L27" i="16"/>
  <c r="J27" i="16"/>
  <c r="G27" i="16"/>
  <c r="L26" i="16"/>
  <c r="J26" i="16"/>
  <c r="G26" i="16"/>
  <c r="B26" i="16"/>
  <c r="L25" i="16"/>
  <c r="J25" i="16"/>
  <c r="G25" i="16"/>
  <c r="L24" i="16"/>
  <c r="J24" i="16"/>
  <c r="G24" i="16"/>
  <c r="L23" i="16"/>
  <c r="J23" i="16"/>
  <c r="G23" i="16"/>
  <c r="L22" i="16"/>
  <c r="G22" i="16"/>
  <c r="L21" i="16"/>
  <c r="J21" i="16"/>
  <c r="G21" i="16"/>
  <c r="AD20" i="16"/>
  <c r="AF20" i="16" s="1"/>
  <c r="L20" i="16"/>
  <c r="J20" i="16"/>
  <c r="G20" i="16"/>
  <c r="AO19" i="16"/>
  <c r="AL19" i="16"/>
  <c r="L19" i="16"/>
  <c r="J19" i="16"/>
  <c r="G19" i="16"/>
  <c r="B19" i="16"/>
  <c r="AO18" i="16"/>
  <c r="AD18" i="16"/>
  <c r="AF18" i="16" s="1"/>
  <c r="L18" i="16"/>
  <c r="J18" i="16"/>
  <c r="G18" i="16"/>
  <c r="L17" i="16"/>
  <c r="J17" i="16"/>
  <c r="G17" i="16"/>
  <c r="L16" i="16"/>
  <c r="J16" i="16"/>
  <c r="G16" i="16"/>
  <c r="L15" i="16"/>
  <c r="J15" i="16"/>
  <c r="G15" i="16"/>
  <c r="L14" i="16"/>
  <c r="J14" i="16"/>
  <c r="G14" i="16"/>
  <c r="L13" i="16"/>
  <c r="J13" i="16"/>
  <c r="G13" i="16"/>
  <c r="L12" i="16"/>
  <c r="J12" i="16"/>
  <c r="G12" i="16"/>
  <c r="B12" i="16"/>
  <c r="L11" i="16"/>
  <c r="J11" i="16"/>
  <c r="G11" i="16"/>
  <c r="L10" i="16"/>
  <c r="J10" i="16"/>
  <c r="G10" i="16"/>
  <c r="L9" i="16"/>
  <c r="J9" i="16"/>
  <c r="G9" i="16"/>
  <c r="L8" i="16"/>
  <c r="J8" i="16"/>
  <c r="G8" i="16"/>
  <c r="AD7" i="16"/>
  <c r="AF7" i="16" s="1"/>
  <c r="L7" i="16"/>
  <c r="J7" i="16"/>
  <c r="G7" i="16"/>
  <c r="L6" i="16"/>
  <c r="J6" i="16"/>
  <c r="G6" i="16"/>
  <c r="L5" i="16"/>
  <c r="J5" i="16"/>
  <c r="G5" i="16"/>
  <c r="B5" i="16"/>
  <c r="D1" i="16"/>
  <c r="N5" i="16" l="1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L38" i="16"/>
  <c r="E40" i="16"/>
  <c r="AH17" i="16"/>
  <c r="AH19" i="16"/>
  <c r="AH8" i="16"/>
  <c r="AH6" i="16"/>
  <c r="AH27" i="16"/>
  <c r="AH30" i="16" s="1"/>
  <c r="L37" i="13"/>
  <c r="AG30" i="16" l="1"/>
  <c r="AH20" i="16"/>
  <c r="AH44" i="16" s="1"/>
  <c r="AH28" i="16"/>
  <c r="AH9" i="16"/>
  <c r="AG9" i="16" s="1"/>
  <c r="L37" i="14"/>
  <c r="AH7" i="16" l="1"/>
  <c r="AG20" i="16"/>
  <c r="AH18" i="16"/>
  <c r="L16" i="14"/>
  <c r="L15" i="14" l="1"/>
  <c r="P40" i="13" l="1"/>
  <c r="E51" i="14" l="1"/>
  <c r="E50" i="14"/>
  <c r="E48" i="14"/>
  <c r="E47" i="14"/>
  <c r="E46" i="14"/>
  <c r="E45" i="14"/>
  <c r="E44" i="14"/>
  <c r="E43" i="14"/>
  <c r="E42" i="14"/>
  <c r="E41" i="14"/>
  <c r="J37" i="14"/>
  <c r="G37" i="14"/>
  <c r="AL36" i="14"/>
  <c r="L36" i="14"/>
  <c r="J36" i="14"/>
  <c r="G36" i="14"/>
  <c r="L35" i="14"/>
  <c r="J35" i="14"/>
  <c r="G35" i="14"/>
  <c r="L34" i="14"/>
  <c r="J34" i="14"/>
  <c r="G34" i="14"/>
  <c r="L33" i="14"/>
  <c r="J33" i="14"/>
  <c r="G33" i="14"/>
  <c r="B33" i="14"/>
  <c r="L32" i="14"/>
  <c r="J32" i="14"/>
  <c r="G32" i="14"/>
  <c r="L31" i="14"/>
  <c r="J31" i="14"/>
  <c r="G31" i="14"/>
  <c r="L30" i="14"/>
  <c r="J30" i="14"/>
  <c r="G30" i="14"/>
  <c r="L29" i="14"/>
  <c r="J29" i="14"/>
  <c r="G29" i="14"/>
  <c r="AD28" i="14"/>
  <c r="AF28" i="14" s="1"/>
  <c r="L28" i="14"/>
  <c r="J28" i="14"/>
  <c r="G28" i="14"/>
  <c r="L27" i="14"/>
  <c r="J27" i="14"/>
  <c r="G27" i="14"/>
  <c r="L26" i="14"/>
  <c r="J26" i="14"/>
  <c r="G26" i="14"/>
  <c r="B26" i="14"/>
  <c r="L25" i="14"/>
  <c r="J25" i="14"/>
  <c r="G25" i="14"/>
  <c r="L24" i="14"/>
  <c r="J24" i="14"/>
  <c r="G24" i="14"/>
  <c r="L23" i="14"/>
  <c r="J23" i="14"/>
  <c r="G23" i="14"/>
  <c r="L22" i="14"/>
  <c r="J22" i="14"/>
  <c r="G22" i="14"/>
  <c r="L21" i="14"/>
  <c r="J21" i="14"/>
  <c r="G21" i="14"/>
  <c r="AF20" i="14"/>
  <c r="AD20" i="14"/>
  <c r="L20" i="14"/>
  <c r="J20" i="14"/>
  <c r="G20" i="14"/>
  <c r="AO19" i="14"/>
  <c r="AL19" i="14"/>
  <c r="L19" i="14"/>
  <c r="J19" i="14"/>
  <c r="G19" i="14"/>
  <c r="B19" i="14"/>
  <c r="AO18" i="14"/>
  <c r="AD18" i="14"/>
  <c r="AF18" i="14" s="1"/>
  <c r="AH17" i="14" s="1"/>
  <c r="L18" i="14"/>
  <c r="J18" i="14"/>
  <c r="G18" i="14"/>
  <c r="L17" i="14"/>
  <c r="J17" i="14"/>
  <c r="G17" i="14"/>
  <c r="J16" i="14"/>
  <c r="G16" i="14"/>
  <c r="J15" i="14"/>
  <c r="G15" i="14"/>
  <c r="L14" i="14"/>
  <c r="J14" i="14"/>
  <c r="G14" i="14"/>
  <c r="L13" i="14"/>
  <c r="J13" i="14"/>
  <c r="G13" i="14"/>
  <c r="L12" i="14"/>
  <c r="J12" i="14"/>
  <c r="G12" i="14"/>
  <c r="B12" i="14"/>
  <c r="L11" i="14"/>
  <c r="J11" i="14"/>
  <c r="G11" i="14"/>
  <c r="L10" i="14"/>
  <c r="J10" i="14"/>
  <c r="G10" i="14"/>
  <c r="L9" i="14"/>
  <c r="J9" i="14"/>
  <c r="G9" i="14"/>
  <c r="L8" i="14"/>
  <c r="J8" i="14"/>
  <c r="G8" i="14"/>
  <c r="AD7" i="14"/>
  <c r="AF7" i="14" s="1"/>
  <c r="AH8" i="14" s="1"/>
  <c r="L7" i="14"/>
  <c r="J7" i="14"/>
  <c r="G7" i="14"/>
  <c r="L6" i="14"/>
  <c r="J6" i="14"/>
  <c r="G6" i="14"/>
  <c r="L5" i="14"/>
  <c r="N5" i="14" s="1"/>
  <c r="J5" i="14"/>
  <c r="G5" i="14"/>
  <c r="B5" i="14"/>
  <c r="D1" i="14"/>
  <c r="L42" i="14" l="1"/>
  <c r="N6" i="14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AH27" i="14"/>
  <c r="AH29" i="14"/>
  <c r="E40" i="14"/>
  <c r="AH6" i="14"/>
  <c r="AH9" i="14" s="1"/>
  <c r="AG9" i="14" s="1"/>
  <c r="AH19" i="14"/>
  <c r="AH30" i="14" l="1"/>
  <c r="AG30" i="14" s="1"/>
  <c r="AH20" i="14"/>
  <c r="AH7" i="14"/>
  <c r="AN23" i="13"/>
  <c r="AL36" i="13"/>
  <c r="AO19" i="13"/>
  <c r="AN22" i="13" s="1"/>
  <c r="AN26" i="13" s="1"/>
  <c r="AL19" i="13"/>
  <c r="AO18" i="13"/>
  <c r="AH28" i="14" l="1"/>
  <c r="AH34" i="14"/>
  <c r="AG20" i="14"/>
  <c r="AH18" i="14"/>
  <c r="AD28" i="13"/>
  <c r="AF28" i="13" s="1"/>
  <c r="AD20" i="13"/>
  <c r="AF20" i="13" s="1"/>
  <c r="AD18" i="13"/>
  <c r="AF18" i="13" s="1"/>
  <c r="AH27" i="13" l="1"/>
  <c r="AH29" i="13"/>
  <c r="AH19" i="13"/>
  <c r="AH17" i="13"/>
  <c r="AH20" i="13" s="1"/>
  <c r="AG20" i="13" s="1"/>
  <c r="AD7" i="13"/>
  <c r="AF7" i="13" l="1"/>
  <c r="AH6" i="13" s="1"/>
  <c r="AH30" i="13"/>
  <c r="AH18" i="13"/>
  <c r="AH8" i="13"/>
  <c r="E42" i="12"/>
  <c r="E47" i="12"/>
  <c r="E45" i="12"/>
  <c r="E41" i="12"/>
  <c r="E39" i="12"/>
  <c r="E40" i="12"/>
  <c r="E46" i="12"/>
  <c r="AH9" i="13" l="1"/>
  <c r="AG9" i="13" s="1"/>
  <c r="AG30" i="13"/>
  <c r="AH34" i="13"/>
  <c r="AH28" i="13"/>
  <c r="AH7" i="13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5" i="12"/>
  <c r="J34" i="12" l="1"/>
  <c r="E43" i="12" l="1"/>
  <c r="D1" i="13" l="1"/>
  <c r="J37" i="13"/>
  <c r="G37" i="13"/>
  <c r="L36" i="13"/>
  <c r="J36" i="13"/>
  <c r="G36" i="13"/>
  <c r="E51" i="13"/>
  <c r="E50" i="13"/>
  <c r="E48" i="13"/>
  <c r="E47" i="13"/>
  <c r="E46" i="13"/>
  <c r="E45" i="13"/>
  <c r="E44" i="13"/>
  <c r="E43" i="13"/>
  <c r="E42" i="13"/>
  <c r="E41" i="13"/>
  <c r="L35" i="13"/>
  <c r="J35" i="13"/>
  <c r="G35" i="13"/>
  <c r="L34" i="13"/>
  <c r="J34" i="13"/>
  <c r="G34" i="13"/>
  <c r="L33" i="13"/>
  <c r="J33" i="13"/>
  <c r="G33" i="13"/>
  <c r="B33" i="13"/>
  <c r="L32" i="13"/>
  <c r="J32" i="13"/>
  <c r="G32" i="13"/>
  <c r="L31" i="13"/>
  <c r="J31" i="13"/>
  <c r="G31" i="13"/>
  <c r="L30" i="13"/>
  <c r="J30" i="13"/>
  <c r="G30" i="13"/>
  <c r="L29" i="13"/>
  <c r="J29" i="13"/>
  <c r="G29" i="13"/>
  <c r="L28" i="13"/>
  <c r="J28" i="13"/>
  <c r="G28" i="13"/>
  <c r="L27" i="13"/>
  <c r="J27" i="13"/>
  <c r="G27" i="13"/>
  <c r="L26" i="13"/>
  <c r="J26" i="13"/>
  <c r="G26" i="13"/>
  <c r="B26" i="13"/>
  <c r="L25" i="13"/>
  <c r="J25" i="13"/>
  <c r="G25" i="13"/>
  <c r="L24" i="13"/>
  <c r="J24" i="13"/>
  <c r="G24" i="13"/>
  <c r="L23" i="13"/>
  <c r="J23" i="13"/>
  <c r="G23" i="13"/>
  <c r="L22" i="13"/>
  <c r="J22" i="13"/>
  <c r="G22" i="13"/>
  <c r="L21" i="13"/>
  <c r="J21" i="13"/>
  <c r="G21" i="13"/>
  <c r="L20" i="13"/>
  <c r="J20" i="13"/>
  <c r="G20" i="13"/>
  <c r="L19" i="13"/>
  <c r="J19" i="13"/>
  <c r="G19" i="13"/>
  <c r="B19" i="13"/>
  <c r="L18" i="13"/>
  <c r="J18" i="13"/>
  <c r="G18" i="13"/>
  <c r="L17" i="13"/>
  <c r="J17" i="13"/>
  <c r="G17" i="13"/>
  <c r="J16" i="13"/>
  <c r="G16" i="13"/>
  <c r="J15" i="13"/>
  <c r="G15" i="13"/>
  <c r="L14" i="13"/>
  <c r="J14" i="13"/>
  <c r="G14" i="13"/>
  <c r="L13" i="13"/>
  <c r="J13" i="13"/>
  <c r="G13" i="13"/>
  <c r="L12" i="13"/>
  <c r="J12" i="13"/>
  <c r="G12" i="13"/>
  <c r="B12" i="13"/>
  <c r="L11" i="13"/>
  <c r="J11" i="13"/>
  <c r="G11" i="13"/>
  <c r="L10" i="13"/>
  <c r="J10" i="13"/>
  <c r="G10" i="13"/>
  <c r="L9" i="13"/>
  <c r="J9" i="13"/>
  <c r="G9" i="13"/>
  <c r="L8" i="13"/>
  <c r="J8" i="13"/>
  <c r="G8" i="13"/>
  <c r="L7" i="13"/>
  <c r="J7" i="13"/>
  <c r="G7" i="13"/>
  <c r="L6" i="13"/>
  <c r="J6" i="13"/>
  <c r="G6" i="13"/>
  <c r="L5" i="13"/>
  <c r="J5" i="13"/>
  <c r="G5" i="13"/>
  <c r="B5" i="13"/>
  <c r="L40" i="13" l="1"/>
  <c r="E40" i="13"/>
  <c r="N5" i="13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L5" i="12"/>
  <c r="L6" i="12"/>
  <c r="L7" i="12"/>
  <c r="L8" i="12"/>
  <c r="L9" i="12"/>
  <c r="L10" i="12"/>
  <c r="L11" i="12"/>
  <c r="L35" i="12"/>
  <c r="L31" i="12"/>
  <c r="L32" i="12"/>
  <c r="L34" i="12"/>
  <c r="J35" i="12"/>
  <c r="G35" i="12"/>
  <c r="G34" i="12"/>
  <c r="G33" i="12"/>
  <c r="B33" i="12"/>
  <c r="J32" i="12"/>
  <c r="G32" i="12"/>
  <c r="J31" i="12"/>
  <c r="G31" i="12"/>
  <c r="L30" i="12"/>
  <c r="J30" i="12"/>
  <c r="G30" i="12"/>
  <c r="L29" i="12"/>
  <c r="J29" i="12"/>
  <c r="G29" i="12"/>
  <c r="L28" i="12"/>
  <c r="J28" i="12"/>
  <c r="G28" i="12"/>
  <c r="L27" i="12"/>
  <c r="J27" i="12"/>
  <c r="G27" i="12"/>
  <c r="L26" i="12"/>
  <c r="J26" i="12"/>
  <c r="G26" i="12"/>
  <c r="B26" i="12"/>
  <c r="L25" i="12"/>
  <c r="J25" i="12"/>
  <c r="G25" i="12"/>
  <c r="L24" i="12"/>
  <c r="J24" i="12"/>
  <c r="G24" i="12"/>
  <c r="L23" i="12"/>
  <c r="J23" i="12"/>
  <c r="G23" i="12"/>
  <c r="L22" i="12"/>
  <c r="J22" i="12"/>
  <c r="G22" i="12"/>
  <c r="L21" i="12"/>
  <c r="J21" i="12"/>
  <c r="G21" i="12"/>
  <c r="L20" i="12"/>
  <c r="J20" i="12"/>
  <c r="G20" i="12"/>
  <c r="L19" i="12"/>
  <c r="J19" i="12"/>
  <c r="G19" i="12"/>
  <c r="B19" i="12"/>
  <c r="L18" i="12"/>
  <c r="J18" i="12"/>
  <c r="G18" i="12"/>
  <c r="L17" i="12"/>
  <c r="J17" i="12"/>
  <c r="G17" i="12"/>
  <c r="L16" i="12"/>
  <c r="J16" i="12"/>
  <c r="G16" i="12"/>
  <c r="L15" i="12"/>
  <c r="J15" i="12"/>
  <c r="G15" i="12"/>
  <c r="L14" i="12"/>
  <c r="J14" i="12"/>
  <c r="G14" i="12"/>
  <c r="L13" i="12"/>
  <c r="J13" i="12"/>
  <c r="G13" i="12"/>
  <c r="L12" i="12"/>
  <c r="J12" i="12"/>
  <c r="G12" i="12"/>
  <c r="B12" i="12"/>
  <c r="J11" i="12"/>
  <c r="G11" i="12"/>
  <c r="J10" i="12"/>
  <c r="G10" i="12"/>
  <c r="J9" i="12"/>
  <c r="G9" i="12"/>
  <c r="J8" i="12"/>
  <c r="G8" i="12"/>
  <c r="J7" i="12"/>
  <c r="G7" i="12"/>
  <c r="J6" i="12"/>
  <c r="G6" i="12"/>
  <c r="J5" i="12"/>
  <c r="G5" i="12"/>
  <c r="B5" i="12"/>
  <c r="D1" i="12"/>
  <c r="L37" i="12" l="1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L34" i="11"/>
  <c r="L33" i="11"/>
  <c r="E50" i="11" l="1"/>
  <c r="E52" i="11"/>
  <c r="E49" i="11" l="1"/>
  <c r="E46" i="11" l="1"/>
  <c r="E53" i="11" l="1"/>
  <c r="L24" i="11" l="1"/>
  <c r="J24" i="11"/>
  <c r="E47" i="11" l="1"/>
  <c r="E48" i="11" l="1"/>
  <c r="E45" i="11" l="1"/>
  <c r="G19" i="11"/>
  <c r="B37" i="11" l="1"/>
  <c r="B30" i="11"/>
  <c r="B23" i="11"/>
  <c r="B16" i="11"/>
  <c r="B9" i="11"/>
  <c r="L17" i="11"/>
  <c r="J17" i="11"/>
  <c r="E44" i="11" l="1"/>
  <c r="J10" i="11"/>
  <c r="J11" i="11"/>
  <c r="J12" i="11"/>
  <c r="J13" i="11"/>
  <c r="N35" i="12" l="1"/>
  <c r="E52" i="9"/>
  <c r="E51" i="9"/>
  <c r="E48" i="12" l="1"/>
  <c r="E50" i="9"/>
  <c r="E49" i="9"/>
  <c r="E38" i="12" l="1"/>
  <c r="E43" i="11"/>
  <c r="E42" i="11" s="1"/>
  <c r="J39" i="11"/>
  <c r="G39" i="11"/>
  <c r="J38" i="11"/>
  <c r="G38" i="11"/>
  <c r="J37" i="11"/>
  <c r="G37" i="11"/>
  <c r="L36" i="11"/>
  <c r="J36" i="11"/>
  <c r="G36" i="11"/>
  <c r="L35" i="11"/>
  <c r="J35" i="11"/>
  <c r="G35" i="11"/>
  <c r="J34" i="11"/>
  <c r="G34" i="11"/>
  <c r="J33" i="11"/>
  <c r="G33" i="11"/>
  <c r="L32" i="11"/>
  <c r="J32" i="11"/>
  <c r="G32" i="11"/>
  <c r="L31" i="11"/>
  <c r="J31" i="11"/>
  <c r="G31" i="11"/>
  <c r="L30" i="11"/>
  <c r="J30" i="11"/>
  <c r="G30" i="11"/>
  <c r="L29" i="11"/>
  <c r="J29" i="11"/>
  <c r="G29" i="11"/>
  <c r="L28" i="11"/>
  <c r="J28" i="11"/>
  <c r="G28" i="11"/>
  <c r="L27" i="11"/>
  <c r="J27" i="11"/>
  <c r="G27" i="11"/>
  <c r="L26" i="11"/>
  <c r="J26" i="11"/>
  <c r="G26" i="11"/>
  <c r="L25" i="11"/>
  <c r="J25" i="11"/>
  <c r="G25" i="11"/>
  <c r="G24" i="11"/>
  <c r="L23" i="11"/>
  <c r="J23" i="11"/>
  <c r="G23" i="11"/>
  <c r="L22" i="11"/>
  <c r="J22" i="11"/>
  <c r="G22" i="11"/>
  <c r="L21" i="11"/>
  <c r="J21" i="11"/>
  <c r="G21" i="11"/>
  <c r="L20" i="11"/>
  <c r="J20" i="11"/>
  <c r="G20" i="11"/>
  <c r="L19" i="11"/>
  <c r="J19" i="11"/>
  <c r="L18" i="11"/>
  <c r="J18" i="11"/>
  <c r="G18" i="11"/>
  <c r="G17" i="11"/>
  <c r="L16" i="11"/>
  <c r="J16" i="11"/>
  <c r="G16" i="11"/>
  <c r="L15" i="11"/>
  <c r="J15" i="11"/>
  <c r="G15" i="11"/>
  <c r="L14" i="11"/>
  <c r="J14" i="11"/>
  <c r="G14" i="11"/>
  <c r="G13" i="11"/>
  <c r="G12" i="11"/>
  <c r="G11" i="11"/>
  <c r="G10" i="11"/>
  <c r="L9" i="11"/>
  <c r="N9" i="11" s="1"/>
  <c r="N10" i="11" s="1"/>
  <c r="J9" i="11"/>
  <c r="G9" i="11"/>
  <c r="D5" i="11"/>
  <c r="J31" i="9"/>
  <c r="L41" i="11" l="1"/>
  <c r="N11" i="1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B9" i="9" l="1"/>
  <c r="B37" i="9"/>
  <c r="B30" i="9"/>
  <c r="B23" i="9"/>
  <c r="B16" i="9"/>
  <c r="E48" i="9"/>
  <c r="E47" i="9"/>
  <c r="E46" i="9"/>
  <c r="E44" i="9"/>
  <c r="E43" i="9"/>
  <c r="E42" i="9" l="1"/>
  <c r="L31" i="9"/>
  <c r="G31" i="9"/>
  <c r="D5" i="9" l="1"/>
  <c r="L36" i="9"/>
  <c r="L35" i="9"/>
  <c r="L29" i="9"/>
  <c r="L28" i="9"/>
  <c r="L22" i="9"/>
  <c r="L21" i="9"/>
  <c r="L15" i="9"/>
  <c r="L14" i="9"/>
  <c r="J11" i="9" l="1"/>
  <c r="J12" i="9"/>
  <c r="J13" i="9"/>
  <c r="J14" i="9"/>
  <c r="J15" i="9"/>
  <c r="J16" i="9"/>
  <c r="J18" i="9"/>
  <c r="J19" i="9"/>
  <c r="J20" i="9"/>
  <c r="J21" i="9"/>
  <c r="J22" i="9"/>
  <c r="J23" i="9"/>
  <c r="J25" i="9"/>
  <c r="J26" i="9"/>
  <c r="J27" i="9"/>
  <c r="J28" i="9"/>
  <c r="J29" i="9"/>
  <c r="J30" i="9"/>
  <c r="J32" i="9"/>
  <c r="J33" i="9"/>
  <c r="J34" i="9"/>
  <c r="J35" i="9"/>
  <c r="J36" i="9"/>
  <c r="J37" i="9"/>
  <c r="J38" i="9"/>
  <c r="J39" i="9"/>
  <c r="J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2" i="9"/>
  <c r="G33" i="9"/>
  <c r="G34" i="9"/>
  <c r="G35" i="9"/>
  <c r="G36" i="9"/>
  <c r="G37" i="9"/>
  <c r="G38" i="9"/>
  <c r="G39" i="9"/>
  <c r="G9" i="9"/>
  <c r="L11" i="9"/>
  <c r="L12" i="9"/>
  <c r="L13" i="9"/>
  <c r="L16" i="9"/>
  <c r="L18" i="9"/>
  <c r="L19" i="9"/>
  <c r="L20" i="9"/>
  <c r="L23" i="9"/>
  <c r="L25" i="9"/>
  <c r="L26" i="9"/>
  <c r="L27" i="9"/>
  <c r="L30" i="9"/>
  <c r="L32" i="9"/>
  <c r="L33" i="9"/>
  <c r="L34" i="9"/>
  <c r="L37" i="9"/>
  <c r="L38" i="9"/>
  <c r="L9" i="9"/>
  <c r="N9" i="9" s="1"/>
  <c r="N10" i="9" s="1"/>
  <c r="N11" i="9" s="1"/>
  <c r="N12" i="9" s="1"/>
  <c r="N13" i="9" l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L41" i="9"/>
  <c r="I42" i="9" s="1"/>
  <c r="N26" i="9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F4" i="8"/>
  <c r="I4" i="8"/>
  <c r="I5" i="8"/>
  <c r="F5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F15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K4" i="8" l="1"/>
  <c r="M4" i="8" s="1"/>
  <c r="K20" i="8"/>
  <c r="K24" i="8"/>
  <c r="K28" i="8"/>
  <c r="K5" i="8"/>
  <c r="M5" i="8" s="1"/>
  <c r="K32" i="8"/>
  <c r="K14" i="8"/>
  <c r="K18" i="8"/>
  <c r="K7" i="8"/>
  <c r="K15" i="8"/>
  <c r="K19" i="8"/>
  <c r="K30" i="8"/>
  <c r="K23" i="8"/>
  <c r="K12" i="8"/>
  <c r="K8" i="8"/>
  <c r="K9" i="8"/>
  <c r="K22" i="8"/>
  <c r="K10" i="8"/>
  <c r="K25" i="8"/>
  <c r="K26" i="8"/>
  <c r="K16" i="8"/>
  <c r="K21" i="8"/>
  <c r="K13" i="8"/>
  <c r="K17" i="8"/>
  <c r="K11" i="8"/>
  <c r="K6" i="8"/>
  <c r="K27" i="8"/>
  <c r="K31" i="8"/>
  <c r="K29" i="8"/>
  <c r="F34" i="7"/>
  <c r="I34" i="7"/>
  <c r="M6" i="8" l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K34" i="7"/>
  <c r="I17" i="7"/>
  <c r="I12" i="7" l="1"/>
  <c r="F12" i="7"/>
  <c r="K12" i="7" s="1"/>
  <c r="I11" i="7" l="1"/>
  <c r="F11" i="7" l="1"/>
  <c r="K11" i="7" s="1"/>
  <c r="I33" i="7" l="1"/>
  <c r="F33" i="7"/>
  <c r="I32" i="7"/>
  <c r="F32" i="7"/>
  <c r="I31" i="7"/>
  <c r="F31" i="7"/>
  <c r="I30" i="7"/>
  <c r="F30" i="7"/>
  <c r="I29" i="7"/>
  <c r="F29" i="7"/>
  <c r="I28" i="7"/>
  <c r="F28" i="7"/>
  <c r="I27" i="7"/>
  <c r="F27" i="7"/>
  <c r="I26" i="7"/>
  <c r="F26" i="7"/>
  <c r="I25" i="7"/>
  <c r="F25" i="7"/>
  <c r="I24" i="7"/>
  <c r="F24" i="7"/>
  <c r="I23" i="7"/>
  <c r="F23" i="7"/>
  <c r="I22" i="7"/>
  <c r="F22" i="7"/>
  <c r="I21" i="7"/>
  <c r="F21" i="7"/>
  <c r="I20" i="7"/>
  <c r="F20" i="7"/>
  <c r="I19" i="7"/>
  <c r="F19" i="7"/>
  <c r="I18" i="7"/>
  <c r="F18" i="7"/>
  <c r="F17" i="7"/>
  <c r="I16" i="7"/>
  <c r="F16" i="7"/>
  <c r="I15" i="7"/>
  <c r="F15" i="7"/>
  <c r="I14" i="7"/>
  <c r="F14" i="7"/>
  <c r="K14" i="7" s="1"/>
  <c r="I13" i="7"/>
  <c r="F13" i="7"/>
  <c r="I10" i="7"/>
  <c r="F10" i="7"/>
  <c r="I9" i="7"/>
  <c r="F9" i="7"/>
  <c r="I8" i="7"/>
  <c r="F8" i="7"/>
  <c r="I7" i="7"/>
  <c r="F7" i="7"/>
  <c r="I6" i="7"/>
  <c r="F6" i="7"/>
  <c r="I5" i="7"/>
  <c r="F5" i="7"/>
  <c r="I4" i="7"/>
  <c r="F4" i="7"/>
  <c r="K8" i="7" l="1"/>
  <c r="K22" i="7"/>
  <c r="K26" i="7"/>
  <c r="K30" i="7"/>
  <c r="K18" i="7"/>
  <c r="K24" i="7"/>
  <c r="K28" i="7"/>
  <c r="K7" i="7"/>
  <c r="K17" i="7"/>
  <c r="K16" i="7"/>
  <c r="K10" i="7"/>
  <c r="K4" i="7"/>
  <c r="K23" i="7"/>
  <c r="K27" i="7"/>
  <c r="K20" i="7"/>
  <c r="K13" i="7"/>
  <c r="K6" i="7"/>
  <c r="K5" i="7"/>
  <c r="M5" i="7" s="1"/>
  <c r="K15" i="7"/>
  <c r="K32" i="7"/>
  <c r="K31" i="7"/>
  <c r="K29" i="7"/>
  <c r="K33" i="7"/>
  <c r="K21" i="7"/>
  <c r="K25" i="7"/>
  <c r="K19" i="7"/>
  <c r="K9" i="7"/>
  <c r="C55" i="6"/>
  <c r="B55" i="6"/>
  <c r="M6" i="7" l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I20" i="6"/>
  <c r="I21" i="6"/>
  <c r="I22" i="6"/>
  <c r="I34" i="6" l="1"/>
  <c r="F34" i="6"/>
  <c r="I33" i="6"/>
  <c r="F33" i="6"/>
  <c r="I32" i="6"/>
  <c r="F32" i="6"/>
  <c r="I31" i="6"/>
  <c r="F31" i="6"/>
  <c r="I30" i="6"/>
  <c r="F30" i="6"/>
  <c r="I29" i="6"/>
  <c r="F29" i="6"/>
  <c r="I28" i="6"/>
  <c r="F28" i="6"/>
  <c r="I27" i="6"/>
  <c r="F27" i="6"/>
  <c r="I26" i="6"/>
  <c r="F26" i="6"/>
  <c r="I25" i="6"/>
  <c r="F25" i="6"/>
  <c r="I24" i="6"/>
  <c r="F24" i="6"/>
  <c r="I23" i="6"/>
  <c r="F23" i="6"/>
  <c r="F22" i="6"/>
  <c r="K22" i="6" s="1"/>
  <c r="F21" i="6"/>
  <c r="K21" i="6" s="1"/>
  <c r="F20" i="6"/>
  <c r="K20" i="6" s="1"/>
  <c r="I19" i="6"/>
  <c r="F19" i="6"/>
  <c r="I18" i="6"/>
  <c r="F18" i="6"/>
  <c r="I17" i="6"/>
  <c r="F17" i="6"/>
  <c r="I16" i="6"/>
  <c r="F16" i="6"/>
  <c r="I15" i="6"/>
  <c r="F15" i="6"/>
  <c r="I14" i="6"/>
  <c r="F14" i="6"/>
  <c r="I13" i="6"/>
  <c r="F13" i="6"/>
  <c r="I12" i="6"/>
  <c r="F12" i="6"/>
  <c r="I11" i="6"/>
  <c r="F11" i="6"/>
  <c r="K11" i="6" s="1"/>
  <c r="I10" i="6"/>
  <c r="F10" i="6"/>
  <c r="I9" i="6"/>
  <c r="F9" i="6"/>
  <c r="I8" i="6"/>
  <c r="F8" i="6"/>
  <c r="I7" i="6"/>
  <c r="F7" i="6"/>
  <c r="I6" i="6"/>
  <c r="F6" i="6"/>
  <c r="I5" i="6"/>
  <c r="K5" i="6" s="1"/>
  <c r="M5" i="6" s="1"/>
  <c r="F5" i="6"/>
  <c r="I4" i="6"/>
  <c r="F4" i="6"/>
  <c r="K4" i="6" s="1"/>
  <c r="H29" i="5"/>
  <c r="E29" i="5"/>
  <c r="H28" i="5"/>
  <c r="E28" i="5"/>
  <c r="H27" i="5"/>
  <c r="E27" i="5"/>
  <c r="H26" i="5"/>
  <c r="E26" i="5"/>
  <c r="H25" i="5"/>
  <c r="E25" i="5"/>
  <c r="J25" i="5" s="1"/>
  <c r="H24" i="5"/>
  <c r="E24" i="5"/>
  <c r="H23" i="5"/>
  <c r="E23" i="5"/>
  <c r="H22" i="5"/>
  <c r="E22" i="5"/>
  <c r="H21" i="5"/>
  <c r="E21" i="5"/>
  <c r="J21" i="5" s="1"/>
  <c r="H20" i="5"/>
  <c r="E20" i="5"/>
  <c r="H19" i="5"/>
  <c r="J19" i="5" s="1"/>
  <c r="E19" i="5"/>
  <c r="H18" i="5"/>
  <c r="E18" i="5"/>
  <c r="H17" i="5"/>
  <c r="E17" i="5"/>
  <c r="H16" i="5"/>
  <c r="E16" i="5"/>
  <c r="H15" i="5"/>
  <c r="E15" i="5"/>
  <c r="H14" i="5"/>
  <c r="E14" i="5"/>
  <c r="J14" i="5" s="1"/>
  <c r="H13" i="5"/>
  <c r="E13" i="5"/>
  <c r="J13" i="5" s="1"/>
  <c r="H12" i="5"/>
  <c r="E12" i="5"/>
  <c r="H11" i="5"/>
  <c r="E11" i="5"/>
  <c r="H10" i="5"/>
  <c r="E10" i="5"/>
  <c r="J10" i="5" s="1"/>
  <c r="H9" i="5"/>
  <c r="E9" i="5"/>
  <c r="H8" i="5"/>
  <c r="E8" i="5"/>
  <c r="H7" i="5"/>
  <c r="E7" i="5"/>
  <c r="H6" i="5"/>
  <c r="E6" i="5"/>
  <c r="H5" i="5"/>
  <c r="E5" i="5"/>
  <c r="J5" i="5" s="1"/>
  <c r="H4" i="5"/>
  <c r="E4" i="5"/>
  <c r="H3" i="5"/>
  <c r="E3" i="5"/>
  <c r="H33" i="4"/>
  <c r="E33" i="4"/>
  <c r="J32" i="4" s="1"/>
  <c r="H32" i="4"/>
  <c r="E32" i="4"/>
  <c r="H31" i="4"/>
  <c r="E31" i="4"/>
  <c r="J31" i="4" s="1"/>
  <c r="L32" i="4" s="1"/>
  <c r="H30" i="4"/>
  <c r="E30" i="4"/>
  <c r="H29" i="4"/>
  <c r="E29" i="4"/>
  <c r="J29" i="4" s="1"/>
  <c r="H28" i="4"/>
  <c r="E28" i="4"/>
  <c r="J28" i="4" s="1"/>
  <c r="H27" i="4"/>
  <c r="E27" i="4"/>
  <c r="H26" i="4"/>
  <c r="E26" i="4"/>
  <c r="H25" i="4"/>
  <c r="E25" i="4"/>
  <c r="H24" i="4"/>
  <c r="E24" i="4"/>
  <c r="J24" i="4" s="1"/>
  <c r="H23" i="4"/>
  <c r="E23" i="4"/>
  <c r="H22" i="4"/>
  <c r="E22" i="4"/>
  <c r="H21" i="4"/>
  <c r="E21" i="4"/>
  <c r="J21" i="4" s="1"/>
  <c r="H20" i="4"/>
  <c r="E20" i="4"/>
  <c r="J20" i="4" s="1"/>
  <c r="H19" i="4"/>
  <c r="E19" i="4"/>
  <c r="H18" i="4"/>
  <c r="E18" i="4"/>
  <c r="H17" i="4"/>
  <c r="E17" i="4"/>
  <c r="H16" i="4"/>
  <c r="E16" i="4"/>
  <c r="J16" i="4" s="1"/>
  <c r="H15" i="4"/>
  <c r="E15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J8" i="4" s="1"/>
  <c r="H7" i="4"/>
  <c r="E7" i="4"/>
  <c r="J7" i="4" s="1"/>
  <c r="H6" i="4"/>
  <c r="E6" i="4"/>
  <c r="H5" i="4"/>
  <c r="E5" i="4"/>
  <c r="H4" i="4"/>
  <c r="E4" i="4"/>
  <c r="H3" i="4"/>
  <c r="E3" i="4"/>
  <c r="J34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J9" i="3" s="1"/>
  <c r="H8" i="3"/>
  <c r="E8" i="3"/>
  <c r="H7" i="3"/>
  <c r="E7" i="3"/>
  <c r="H6" i="3"/>
  <c r="E6" i="3"/>
  <c r="H5" i="3"/>
  <c r="E5" i="3"/>
  <c r="J5" i="3" s="1"/>
  <c r="L5" i="3" s="1"/>
  <c r="E4" i="3"/>
  <c r="J4" i="3" s="1"/>
  <c r="I33" i="2"/>
  <c r="F33" i="2"/>
  <c r="I32" i="2"/>
  <c r="F32" i="2"/>
  <c r="I31" i="2"/>
  <c r="F31" i="2"/>
  <c r="I30" i="2"/>
  <c r="F30" i="2"/>
  <c r="I29" i="2"/>
  <c r="F29" i="2"/>
  <c r="K29" i="2" s="1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K22" i="2" s="1"/>
  <c r="I21" i="2"/>
  <c r="F21" i="2"/>
  <c r="K21" i="2" s="1"/>
  <c r="I20" i="2"/>
  <c r="F20" i="2"/>
  <c r="I19" i="2"/>
  <c r="F19" i="2"/>
  <c r="K19" i="2" s="1"/>
  <c r="I18" i="2"/>
  <c r="F18" i="2"/>
  <c r="I17" i="2"/>
  <c r="F17" i="2"/>
  <c r="I16" i="2"/>
  <c r="F16" i="2"/>
  <c r="I15" i="2"/>
  <c r="F15" i="2"/>
  <c r="K15" i="2" s="1"/>
  <c r="I14" i="2"/>
  <c r="F14" i="2"/>
  <c r="I13" i="2"/>
  <c r="F13" i="2"/>
  <c r="K13" i="2" s="1"/>
  <c r="I12" i="2"/>
  <c r="F12" i="2"/>
  <c r="I11" i="2"/>
  <c r="F11" i="2"/>
  <c r="I10" i="2"/>
  <c r="F10" i="2"/>
  <c r="I9" i="2"/>
  <c r="F9" i="2"/>
  <c r="I8" i="2"/>
  <c r="F8" i="2"/>
  <c r="I7" i="2"/>
  <c r="F7" i="2"/>
  <c r="K7" i="2" s="1"/>
  <c r="I6" i="2"/>
  <c r="F6" i="2"/>
  <c r="I5" i="2"/>
  <c r="F5" i="2"/>
  <c r="K5" i="2" s="1"/>
  <c r="M5" i="2" s="1"/>
  <c r="I4" i="2"/>
  <c r="F4" i="2"/>
  <c r="I34" i="1"/>
  <c r="F34" i="1"/>
  <c r="I33" i="1"/>
  <c r="F33" i="1"/>
  <c r="I32" i="1"/>
  <c r="F32" i="1"/>
  <c r="I31" i="1"/>
  <c r="F31" i="1"/>
  <c r="I30" i="1"/>
  <c r="F30" i="1"/>
  <c r="I29" i="1"/>
  <c r="F29" i="1"/>
  <c r="I26" i="1"/>
  <c r="F26" i="1"/>
  <c r="I25" i="1"/>
  <c r="F25" i="1"/>
  <c r="I24" i="1"/>
  <c r="F24" i="1"/>
  <c r="I23" i="1"/>
  <c r="F23" i="1"/>
  <c r="I22" i="1"/>
  <c r="F22" i="1"/>
  <c r="I19" i="1"/>
  <c r="F19" i="1"/>
  <c r="I18" i="1"/>
  <c r="F18" i="1"/>
  <c r="AP17" i="1"/>
  <c r="I17" i="1"/>
  <c r="F17" i="1"/>
  <c r="AP16" i="1"/>
  <c r="I16" i="1"/>
  <c r="F16" i="1"/>
  <c r="AP15" i="1"/>
  <c r="I15" i="1"/>
  <c r="F15" i="1"/>
  <c r="K15" i="1" s="1"/>
  <c r="AP14" i="1"/>
  <c r="AP13" i="1"/>
  <c r="AP12" i="1"/>
  <c r="I12" i="1"/>
  <c r="F12" i="1"/>
  <c r="AP11" i="1"/>
  <c r="I11" i="1"/>
  <c r="F11" i="1"/>
  <c r="K11" i="1" s="1"/>
  <c r="AP10" i="1"/>
  <c r="I10" i="1"/>
  <c r="F10" i="1"/>
  <c r="K10" i="1" s="1"/>
  <c r="AP9" i="1"/>
  <c r="I9" i="1"/>
  <c r="F9" i="1"/>
  <c r="AP8" i="1"/>
  <c r="I8" i="1"/>
  <c r="F8" i="1"/>
  <c r="AP7" i="1"/>
  <c r="AP6" i="1"/>
  <c r="AP5" i="1"/>
  <c r="I5" i="1"/>
  <c r="F5" i="1"/>
  <c r="I4" i="1"/>
  <c r="F4" i="1"/>
  <c r="K12" i="1" l="1"/>
  <c r="K16" i="1"/>
  <c r="K19" i="1"/>
  <c r="K25" i="1"/>
  <c r="K31" i="1"/>
  <c r="K8" i="2"/>
  <c r="K12" i="2"/>
  <c r="K16" i="2"/>
  <c r="K20" i="2"/>
  <c r="J6" i="3"/>
  <c r="J14" i="3"/>
  <c r="J22" i="3"/>
  <c r="J23" i="4"/>
  <c r="K22" i="1"/>
  <c r="K9" i="2"/>
  <c r="J8" i="3"/>
  <c r="J12" i="3"/>
  <c r="J16" i="3"/>
  <c r="J20" i="3"/>
  <c r="J24" i="3"/>
  <c r="J9" i="4"/>
  <c r="L6" i="3"/>
  <c r="J13" i="3"/>
  <c r="K9" i="1"/>
  <c r="K23" i="2"/>
  <c r="K27" i="2"/>
  <c r="J3" i="5"/>
  <c r="J11" i="5"/>
  <c r="K30" i="6"/>
  <c r="K24" i="1"/>
  <c r="J28" i="5"/>
  <c r="K33" i="2"/>
  <c r="J13" i="4"/>
  <c r="J6" i="4"/>
  <c r="J14" i="4"/>
  <c r="J6" i="5"/>
  <c r="J15" i="4"/>
  <c r="J30" i="4"/>
  <c r="J7" i="5"/>
  <c r="K29" i="1"/>
  <c r="K6" i="2"/>
  <c r="M6" i="2" s="1"/>
  <c r="M7" i="2" s="1"/>
  <c r="M8" i="2" s="1"/>
  <c r="J7" i="3"/>
  <c r="J15" i="3"/>
  <c r="K5" i="1"/>
  <c r="K30" i="2"/>
  <c r="J24" i="5"/>
  <c r="J17" i="3"/>
  <c r="K32" i="1"/>
  <c r="K17" i="2"/>
  <c r="J10" i="3"/>
  <c r="J18" i="3"/>
  <c r="K23" i="1"/>
  <c r="K33" i="1"/>
  <c r="J11" i="3"/>
  <c r="J19" i="3"/>
  <c r="J27" i="4"/>
  <c r="J27" i="5"/>
  <c r="K9" i="6"/>
  <c r="K26" i="6"/>
  <c r="K7" i="6"/>
  <c r="K8" i="6"/>
  <c r="J17" i="5"/>
  <c r="J18" i="5"/>
  <c r="J4" i="5"/>
  <c r="J26" i="5"/>
  <c r="J12" i="5"/>
  <c r="J20" i="5"/>
  <c r="J10" i="4"/>
  <c r="J17" i="4"/>
  <c r="J3" i="4"/>
  <c r="J22" i="4"/>
  <c r="J25" i="3"/>
  <c r="J21" i="3"/>
  <c r="J23" i="3"/>
  <c r="K25" i="2"/>
  <c r="K4" i="2"/>
  <c r="K14" i="2"/>
  <c r="K24" i="2"/>
  <c r="K31" i="2"/>
  <c r="K11" i="2"/>
  <c r="K18" i="2"/>
  <c r="K28" i="2"/>
  <c r="K26" i="2"/>
  <c r="K8" i="1"/>
  <c r="K4" i="1"/>
  <c r="M4" i="1" s="1"/>
  <c r="K17" i="1"/>
  <c r="K26" i="1"/>
  <c r="K18" i="1"/>
  <c r="K30" i="1"/>
  <c r="K34" i="1"/>
  <c r="K10" i="6"/>
  <c r="K17" i="6"/>
  <c r="K6" i="6"/>
  <c r="M6" i="6" s="1"/>
  <c r="K32" i="2"/>
  <c r="K10" i="2"/>
  <c r="K29" i="6"/>
  <c r="K25" i="6"/>
  <c r="K18" i="6"/>
  <c r="K23" i="6"/>
  <c r="K27" i="6"/>
  <c r="K16" i="6"/>
  <c r="K24" i="6"/>
  <c r="K28" i="6"/>
  <c r="K32" i="6"/>
  <c r="K19" i="6"/>
  <c r="K12" i="6"/>
  <c r="K13" i="6"/>
  <c r="K33" i="6"/>
  <c r="K31" i="6"/>
  <c r="K34" i="6"/>
  <c r="K15" i="6"/>
  <c r="K14" i="6"/>
  <c r="L7" i="3" l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M9" i="2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7" i="6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</calcChain>
</file>

<file path=xl/sharedStrings.xml><?xml version="1.0" encoding="utf-8"?>
<sst xmlns="http://schemas.openxmlformats.org/spreadsheetml/2006/main" count="3430" uniqueCount="430">
  <si>
    <t>mandat</t>
  </si>
  <si>
    <t>nom</t>
  </si>
  <si>
    <t>numero</t>
  </si>
  <si>
    <t>P41</t>
  </si>
  <si>
    <t>En sauvy</t>
  </si>
  <si>
    <t>Clair-Val</t>
  </si>
  <si>
    <t>03607A42</t>
  </si>
  <si>
    <t>122743A01</t>
  </si>
  <si>
    <t>Frontenex 54</t>
  </si>
  <si>
    <t>12192A01</t>
  </si>
  <si>
    <t>12137A01</t>
  </si>
  <si>
    <t>03607A38</t>
  </si>
  <si>
    <t>GVA center</t>
  </si>
  <si>
    <t>Jeudi</t>
  </si>
  <si>
    <t>Vendredi</t>
  </si>
  <si>
    <t>Samedi</t>
  </si>
  <si>
    <t>Dimanche</t>
  </si>
  <si>
    <t>Lundi</t>
  </si>
  <si>
    <t>Mardi</t>
  </si>
  <si>
    <t>Mercredi</t>
  </si>
  <si>
    <t>temps pres.</t>
  </si>
  <si>
    <t>Temps de présence</t>
  </si>
  <si>
    <t>jour</t>
  </si>
  <si>
    <t>date</t>
  </si>
  <si>
    <t>arrivée mat.</t>
  </si>
  <si>
    <t>départ mat.</t>
  </si>
  <si>
    <t>tot. Mat.</t>
  </si>
  <si>
    <t>arivée apr.</t>
  </si>
  <si>
    <t>départ ap.</t>
  </si>
  <si>
    <t>tot apr.</t>
  </si>
  <si>
    <t>tot. Journée</t>
  </si>
  <si>
    <t>Travail</t>
  </si>
  <si>
    <t>mandat 1</t>
  </si>
  <si>
    <t>mandat 2</t>
  </si>
  <si>
    <t>mandat 3</t>
  </si>
  <si>
    <t>formation</t>
  </si>
  <si>
    <t>nicolas bouvier</t>
  </si>
  <si>
    <t>Saussure</t>
  </si>
  <si>
    <t>4,5h</t>
  </si>
  <si>
    <t xml:space="preserve">Kermes </t>
  </si>
  <si>
    <t>4h</t>
  </si>
  <si>
    <t xml:space="preserve">formation </t>
  </si>
  <si>
    <t>2,25h</t>
  </si>
  <si>
    <t>saussure</t>
  </si>
  <si>
    <t>Kermes</t>
  </si>
  <si>
    <t>1h</t>
  </si>
  <si>
    <t xml:space="preserve">en sauville </t>
  </si>
  <si>
    <t>5,5h</t>
  </si>
  <si>
    <t>1,5h</t>
  </si>
  <si>
    <t>Terrasse publ</t>
  </si>
  <si>
    <t>8,5h</t>
  </si>
  <si>
    <t>3,5h</t>
  </si>
  <si>
    <t>2h</t>
  </si>
  <si>
    <t>4,75h</t>
  </si>
  <si>
    <t>3h</t>
  </si>
  <si>
    <t>6h</t>
  </si>
  <si>
    <t>7h</t>
  </si>
  <si>
    <t>Mandat</t>
  </si>
  <si>
    <t>début</t>
  </si>
  <si>
    <t>fin</t>
  </si>
  <si>
    <t>total</t>
  </si>
  <si>
    <t>P41 03607A42</t>
  </si>
  <si>
    <t>En sauvy 122743A01</t>
  </si>
  <si>
    <t>Frontenex 54 12192A01</t>
  </si>
  <si>
    <t>Clair-Val 12137A01</t>
  </si>
  <si>
    <t>GVA center 03607A38</t>
  </si>
  <si>
    <t xml:space="preserve">Terrasse publ </t>
  </si>
  <si>
    <t>Temp Sup</t>
  </si>
  <si>
    <t>en sauvy</t>
  </si>
  <si>
    <t>clair-val</t>
  </si>
  <si>
    <t>8,75h</t>
  </si>
  <si>
    <t>one roof</t>
  </si>
  <si>
    <t>Formation</t>
  </si>
  <si>
    <t>12067A02</t>
  </si>
  <si>
    <t>2,5h</t>
  </si>
  <si>
    <t>OBA Lot 3</t>
  </si>
  <si>
    <t>Salle du grand conseil</t>
  </si>
  <si>
    <t>5h</t>
  </si>
  <si>
    <t>Rolex Lassco</t>
  </si>
  <si>
    <t>Terrasse publique</t>
  </si>
  <si>
    <t>OBA lot 3</t>
  </si>
  <si>
    <t>1,25h</t>
  </si>
  <si>
    <t>6,5h</t>
  </si>
  <si>
    <t>:</t>
  </si>
  <si>
    <t>En Sauvy</t>
  </si>
  <si>
    <t>3,25h</t>
  </si>
  <si>
    <t>0,75h</t>
  </si>
  <si>
    <t xml:space="preserve">Mairie d'aniere </t>
  </si>
  <si>
    <t>0,5h</t>
  </si>
  <si>
    <t>Clair-val</t>
  </si>
  <si>
    <t>8h</t>
  </si>
  <si>
    <t>Papon</t>
  </si>
  <si>
    <t>5,25h</t>
  </si>
  <si>
    <t>mardi</t>
  </si>
  <si>
    <t>mercredi</t>
  </si>
  <si>
    <t>jeudi</t>
  </si>
  <si>
    <t>vendredi</t>
  </si>
  <si>
    <t>samedi</t>
  </si>
  <si>
    <t>dimanche</t>
  </si>
  <si>
    <t>lundi</t>
  </si>
  <si>
    <t xml:space="preserve">oba lot 3 </t>
  </si>
  <si>
    <t>météo suisse</t>
  </si>
  <si>
    <t>temps pres</t>
  </si>
  <si>
    <t>Vacances</t>
  </si>
  <si>
    <t>oba lot 3</t>
  </si>
  <si>
    <t>meteo suisse 2h</t>
  </si>
  <si>
    <t>clair val</t>
  </si>
  <si>
    <t xml:space="preserve">fomation </t>
  </si>
  <si>
    <t>oba</t>
  </si>
  <si>
    <t>4,25h</t>
  </si>
  <si>
    <t>8,3h</t>
  </si>
  <si>
    <t>3,75h</t>
  </si>
  <si>
    <t>salle du grand conseil</t>
  </si>
  <si>
    <t>forma 4,5</t>
  </si>
  <si>
    <t>oba 4</t>
  </si>
  <si>
    <t>12254A06</t>
  </si>
  <si>
    <t>nicolas</t>
  </si>
  <si>
    <t>sallle du cons</t>
  </si>
  <si>
    <t>2.5h/2,75h</t>
  </si>
  <si>
    <t>8,5h/8,75h</t>
  </si>
  <si>
    <t>8,5h/8,25h</t>
  </si>
  <si>
    <t>2,5h/2h</t>
  </si>
  <si>
    <t>2,5h/2,75h</t>
  </si>
  <si>
    <t>5,5h/4,25h</t>
  </si>
  <si>
    <t>Salle du con</t>
  </si>
  <si>
    <t>corraterie</t>
  </si>
  <si>
    <t xml:space="preserve">servette </t>
  </si>
  <si>
    <t>servette 93</t>
  </si>
  <si>
    <t>Servette 93</t>
  </si>
  <si>
    <t>0,25h</t>
  </si>
  <si>
    <t>0h</t>
  </si>
  <si>
    <t>3,25/2,5h</t>
  </si>
  <si>
    <t>2,5/3,5h</t>
  </si>
  <si>
    <t>4,75h/4,5h</t>
  </si>
  <si>
    <t>6h/6,5</t>
  </si>
  <si>
    <t>6.5h/5,5h</t>
  </si>
  <si>
    <t>2h/3,5h</t>
  </si>
  <si>
    <t>Terrasse pub</t>
  </si>
  <si>
    <t>Port Gitana</t>
  </si>
  <si>
    <t>Onyx</t>
  </si>
  <si>
    <t>onyx</t>
  </si>
  <si>
    <t>18861A01</t>
  </si>
  <si>
    <t>phoenix</t>
  </si>
  <si>
    <t>18862A01</t>
  </si>
  <si>
    <t>7h/8h</t>
  </si>
  <si>
    <t>4,75h/4,25h</t>
  </si>
  <si>
    <t xml:space="preserve">Formation </t>
  </si>
  <si>
    <t>Matière</t>
  </si>
  <si>
    <t>9h/8,5h</t>
  </si>
  <si>
    <t>2.75h/2,25h</t>
  </si>
  <si>
    <t xml:space="preserve">P41 </t>
  </si>
  <si>
    <t>12067A03</t>
  </si>
  <si>
    <t>Croix 'or 17</t>
  </si>
  <si>
    <t>Lolo</t>
  </si>
  <si>
    <t>2,25h/2,5h</t>
  </si>
  <si>
    <t>conféderation</t>
  </si>
  <si>
    <t>port Gitana</t>
  </si>
  <si>
    <t>2,25h/2h</t>
  </si>
  <si>
    <t>4,5h/4h</t>
  </si>
  <si>
    <t>1h/1,5h</t>
  </si>
  <si>
    <t>1,5h/2h</t>
  </si>
  <si>
    <t>-</t>
  </si>
  <si>
    <t>Hotel bristol</t>
  </si>
  <si>
    <t>45min</t>
  </si>
  <si>
    <t>30min</t>
  </si>
  <si>
    <t>croix d'or</t>
  </si>
  <si>
    <t xml:space="preserve">croix d'or </t>
  </si>
  <si>
    <t>confédération</t>
  </si>
  <si>
    <t>MuDac</t>
  </si>
  <si>
    <t xml:space="preserve">Onyx </t>
  </si>
  <si>
    <t>Port Gitan</t>
  </si>
  <si>
    <t>Mudac</t>
  </si>
  <si>
    <t>Mont blanc centre</t>
  </si>
  <si>
    <t>mont blanc centre</t>
  </si>
  <si>
    <t>9,25/8,5h</t>
  </si>
  <si>
    <t>Croix d'or 17</t>
  </si>
  <si>
    <t>3,75/4,25h</t>
  </si>
  <si>
    <t>4,75/4,25h</t>
  </si>
  <si>
    <t>7,5/8h</t>
  </si>
  <si>
    <t>3,75/4h</t>
  </si>
  <si>
    <t>+</t>
  </si>
  <si>
    <t>Pole Museal</t>
  </si>
  <si>
    <t>8,25h</t>
  </si>
  <si>
    <t>Aig divers</t>
  </si>
  <si>
    <t>7,25h</t>
  </si>
  <si>
    <t>9/8,5h</t>
  </si>
  <si>
    <t>8,75/8,5h</t>
  </si>
  <si>
    <t>5,75h</t>
  </si>
  <si>
    <t>Port gitana</t>
  </si>
  <si>
    <t xml:space="preserve">Mudac </t>
  </si>
  <si>
    <t>Croix d'or</t>
  </si>
  <si>
    <t>3/2,75h</t>
  </si>
  <si>
    <t>7,25/8h</t>
  </si>
  <si>
    <t>5/4,75h</t>
  </si>
  <si>
    <t>Vacance</t>
  </si>
  <si>
    <t>corraterie pair</t>
  </si>
  <si>
    <t>Croix  d'or</t>
  </si>
  <si>
    <t>6,75h</t>
  </si>
  <si>
    <t>Terrasse Pub</t>
  </si>
  <si>
    <t>4,25/3,75h</t>
  </si>
  <si>
    <t>12314A01 Villa chemin coudée</t>
  </si>
  <si>
    <t>12312A02</t>
  </si>
  <si>
    <t>AXA 12312A02</t>
  </si>
  <si>
    <t>6/7h</t>
  </si>
  <si>
    <t>AIG Divers</t>
  </si>
  <si>
    <t>Temps Sup.</t>
  </si>
  <si>
    <t>Tot. Mat.</t>
  </si>
  <si>
    <t>Tot apr.</t>
  </si>
  <si>
    <t>Tot. Journée</t>
  </si>
  <si>
    <t>Temps pres.</t>
  </si>
  <si>
    <t>Arrivée mat.</t>
  </si>
  <si>
    <t>Départ mat.</t>
  </si>
  <si>
    <t>Arivée apr.</t>
  </si>
  <si>
    <t>Départ ap.</t>
  </si>
  <si>
    <t>Jour</t>
  </si>
  <si>
    <t>Date</t>
  </si>
  <si>
    <t>CFPC</t>
  </si>
  <si>
    <t xml:space="preserve">Clair val D </t>
  </si>
  <si>
    <t>Pré de la bichette</t>
  </si>
  <si>
    <t xml:space="preserve">
=NB.SI.ENS(Feuil1!B$1:P$1;"A";Feuil1!B2:P2;0)
</t>
  </si>
  <si>
    <t>Date:</t>
  </si>
  <si>
    <t>Pôle Museal MUDAC</t>
  </si>
  <si>
    <t>Confédération 3-5 Swiss life</t>
  </si>
  <si>
    <t>Port Giatana</t>
  </si>
  <si>
    <t>Swisslife Croix d'or</t>
  </si>
  <si>
    <t>Chantier</t>
  </si>
  <si>
    <t>AIG DIVERS</t>
  </si>
  <si>
    <t>Clair-Val D</t>
  </si>
  <si>
    <t>Pré-de-la-bichette</t>
  </si>
  <si>
    <t>Juin</t>
  </si>
  <si>
    <t>Conf.3-5 Sec</t>
  </si>
  <si>
    <t>Résidence Hôtelière</t>
  </si>
  <si>
    <t>Juillet</t>
  </si>
  <si>
    <t>Clair val D</t>
  </si>
  <si>
    <t xml:space="preserve">AIG Divers </t>
  </si>
  <si>
    <t>CG1</t>
  </si>
  <si>
    <t>MAD</t>
  </si>
  <si>
    <t>Les 6 toits</t>
  </si>
  <si>
    <t xml:space="preserve">cathédral </t>
  </si>
  <si>
    <t>Cathédrale</t>
  </si>
  <si>
    <t>Total</t>
  </si>
  <si>
    <t>3607B65</t>
  </si>
  <si>
    <t xml:space="preserve">Clair-Val </t>
  </si>
  <si>
    <t>12127A01</t>
  </si>
  <si>
    <t>Exemple</t>
  </si>
  <si>
    <t>ONE ROOF</t>
  </si>
  <si>
    <t xml:space="preserve">Clair-Val (+0,5) </t>
  </si>
  <si>
    <t xml:space="preserve">Clair-Val (+1) </t>
  </si>
  <si>
    <t>Data center</t>
  </si>
  <si>
    <t>Data Center Acacias</t>
  </si>
  <si>
    <t>Dnata</t>
  </si>
  <si>
    <t>Août</t>
  </si>
  <si>
    <t>Remaque</t>
  </si>
  <si>
    <t>Clair-Val(-0,75)</t>
  </si>
  <si>
    <t>Croix d'Or 6-8</t>
  </si>
  <si>
    <t>Clair-Val(+0,75)</t>
  </si>
  <si>
    <t xml:space="preserve">Data center </t>
  </si>
  <si>
    <t>LNK</t>
  </si>
  <si>
    <t>Cours a l'achat</t>
  </si>
  <si>
    <t>Dépensé</t>
  </si>
  <si>
    <t>Cours actuel</t>
  </si>
  <si>
    <t>Frais</t>
  </si>
  <si>
    <t>Bénéfice Brut</t>
  </si>
  <si>
    <t>Bénéfice Net</t>
  </si>
  <si>
    <t>Total Frais</t>
  </si>
  <si>
    <t>rue des lila</t>
  </si>
  <si>
    <t>mudac</t>
  </si>
  <si>
    <t>12288A01</t>
  </si>
  <si>
    <t>0X</t>
  </si>
  <si>
    <t>(+0,75)</t>
  </si>
  <si>
    <t>(+0,75)Onyx</t>
  </si>
  <si>
    <t>(+1,00)Clair-val</t>
  </si>
  <si>
    <t>(+0,25)</t>
  </si>
  <si>
    <t>(+0,25)Mudac</t>
  </si>
  <si>
    <t>(-0,25)Clair-val</t>
  </si>
  <si>
    <t>(+0,75)Dnata</t>
  </si>
  <si>
    <t>(-0,5)Dnata</t>
  </si>
  <si>
    <t>CVL</t>
  </si>
  <si>
    <t>MUD</t>
  </si>
  <si>
    <t>DNATA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</si>
  <si>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</si>
  <si>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</si>
  <si>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</si>
  <si>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</si>
  <si>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</si>
  <si>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</si>
  <si>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</si>
  <si>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</si>
  <si>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</si>
  <si>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</si>
  <si>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</si>
  <si>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</si>
  <si>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(-0,25)Dnata</t>
  </si>
  <si>
    <t>OBA</t>
  </si>
  <si>
    <t>(-0,5)CVL</t>
  </si>
  <si>
    <t>Phoenix</t>
  </si>
  <si>
    <t>MUDAC</t>
  </si>
  <si>
    <t xml:space="preserve">Oba </t>
  </si>
  <si>
    <t xml:space="preserve">OBA </t>
  </si>
  <si>
    <t>VA</t>
  </si>
  <si>
    <t>Av. Wendt</t>
  </si>
  <si>
    <t>Pause</t>
  </si>
  <si>
    <t>Heure dép.</t>
  </si>
  <si>
    <t>Heure d'arr.</t>
  </si>
  <si>
    <t>MétéoSwiss</t>
  </si>
  <si>
    <t>Janvier</t>
  </si>
  <si>
    <t>Février</t>
  </si>
  <si>
    <t>Mars</t>
  </si>
  <si>
    <t>Avril</t>
  </si>
  <si>
    <t>Mai</t>
  </si>
  <si>
    <t>Septembre</t>
  </si>
  <si>
    <t>Octobre</t>
  </si>
  <si>
    <t>Novembre</t>
  </si>
  <si>
    <t>Décembre</t>
  </si>
  <si>
    <t>SCI</t>
  </si>
  <si>
    <t>SCHE</t>
  </si>
  <si>
    <t>CG</t>
  </si>
  <si>
    <t>COM</t>
  </si>
  <si>
    <t>ELEC</t>
  </si>
  <si>
    <t>TELE</t>
  </si>
  <si>
    <t>NIBT</t>
  </si>
  <si>
    <t xml:space="preserve"> 1er sem. </t>
  </si>
  <si>
    <t>2ème sem.</t>
  </si>
  <si>
    <t>Moyenne CFPC</t>
  </si>
  <si>
    <t>Tot.</t>
  </si>
  <si>
    <t>Notes CFPC</t>
  </si>
  <si>
    <t xml:space="preserve"> 2ème sem. </t>
  </si>
  <si>
    <t>Centre Culturel Châtelaine</t>
  </si>
  <si>
    <t>AV. Wendt</t>
  </si>
  <si>
    <t>AXA Vieux</t>
  </si>
  <si>
    <t>17h-17h45</t>
  </si>
  <si>
    <t>GA</t>
  </si>
  <si>
    <t>Data</t>
  </si>
  <si>
    <t>data</t>
  </si>
  <si>
    <t>Séance de bureau 16h30 ~1h</t>
  </si>
  <si>
    <t>Cours CFPC</t>
  </si>
  <si>
    <t>GVA</t>
  </si>
  <si>
    <t>CVL D</t>
  </si>
  <si>
    <t>CVA center</t>
  </si>
  <si>
    <t>Cours interentreprises</t>
  </si>
  <si>
    <t>INGENIEURS-CONSEILS SCHERLER SA</t>
  </si>
  <si>
    <t>srg | engineering</t>
  </si>
  <si>
    <t>CONTRÔLE DES HEURES</t>
  </si>
  <si>
    <t>NOM : Huter Julien</t>
  </si>
  <si>
    <t xml:space="preserve">MOIS : </t>
  </si>
  <si>
    <t>F012</t>
  </si>
  <si>
    <t>H</t>
  </si>
  <si>
    <t>Remarques</t>
  </si>
  <si>
    <t>1.</t>
  </si>
  <si>
    <t>2.</t>
  </si>
  <si>
    <t>3.</t>
  </si>
  <si>
    <t>4.</t>
  </si>
  <si>
    <t>5.</t>
  </si>
  <si>
    <t>Temps bloqué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</si>
  <si>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</si>
  <si>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</si>
  <si>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</si>
  <si>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</si>
  <si>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</si>
  <si>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</si>
  <si>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</si>
  <si>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</si>
  <si>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</si>
  <si>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</si>
  <si>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</si>
  <si>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</si>
  <si>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</si>
  <si>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</si>
  <si>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12.00        12.15        13.00</t>
  </si>
  <si>
    <t>20.</t>
  </si>
  <si>
    <t>21.</t>
  </si>
  <si>
    <t>22.</t>
  </si>
  <si>
    <t>Réel:</t>
  </si>
  <si>
    <t>Dû:</t>
  </si>
  <si>
    <t xml:space="preserve">Arrêt </t>
  </si>
  <si>
    <t>Lausanne</t>
  </si>
  <si>
    <t>Moins prorata</t>
  </si>
  <si>
    <t>TTC</t>
  </si>
  <si>
    <t>TVA</t>
  </si>
  <si>
    <t>prorata</t>
  </si>
  <si>
    <t>Wendt</t>
  </si>
  <si>
    <t xml:space="preserve">ST pierre </t>
  </si>
  <si>
    <t>Météosuisse</t>
  </si>
  <si>
    <t>av wendt</t>
  </si>
  <si>
    <t>GA CT</t>
  </si>
  <si>
    <t>Onyx(GVA)</t>
  </si>
  <si>
    <t>Onyx(GVA C)</t>
  </si>
  <si>
    <t xml:space="preserve">Av Wendt </t>
  </si>
  <si>
    <t>16h15</t>
  </si>
  <si>
    <t>17h00</t>
  </si>
  <si>
    <t>17h30</t>
  </si>
  <si>
    <t>17h15</t>
  </si>
  <si>
    <t>18h00</t>
  </si>
  <si>
    <t>(4,25)4</t>
  </si>
  <si>
    <t>(3,75)4</t>
  </si>
  <si>
    <t>+0,75</t>
  </si>
  <si>
    <t>-0,75</t>
  </si>
  <si>
    <t>Av wendt</t>
  </si>
  <si>
    <t>Fort-barreau</t>
  </si>
  <si>
    <t>Fort-Barreau</t>
  </si>
  <si>
    <t>Att</t>
  </si>
  <si>
    <t>Def</t>
  </si>
  <si>
    <t>Vit</t>
  </si>
  <si>
    <t>Int</t>
  </si>
  <si>
    <t>Dex</t>
  </si>
  <si>
    <t>Str</t>
  </si>
  <si>
    <t>MP</t>
  </si>
  <si>
    <t>7-8.07.22</t>
  </si>
  <si>
    <t>25-29.07.22</t>
  </si>
  <si>
    <t>2-6.08.22</t>
  </si>
  <si>
    <t>Restant</t>
  </si>
  <si>
    <t>Vac.</t>
  </si>
  <si>
    <t>Cours</t>
  </si>
  <si>
    <t>(17:00)</t>
  </si>
  <si>
    <t>(16:30)</t>
  </si>
  <si>
    <t>-0,5h</t>
  </si>
  <si>
    <t>+0,5h</t>
  </si>
  <si>
    <t>Jeûne Genevois</t>
  </si>
  <si>
    <t>Maladie</t>
  </si>
  <si>
    <t>économie d'énergie</t>
  </si>
  <si>
    <t>Moins de machine</t>
  </si>
  <si>
    <t>Pas laisser charger telephone la nuit</t>
  </si>
  <si>
    <t>eteindre tout les appareil la nuit</t>
  </si>
  <si>
    <t>réduire nombre d'aquarium</t>
  </si>
  <si>
    <t>CICG</t>
  </si>
  <si>
    <t>PlO 124</t>
  </si>
  <si>
    <t>Plo</t>
  </si>
  <si>
    <t>Stage</t>
  </si>
  <si>
    <t>Centrale THE</t>
  </si>
  <si>
    <t>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</si>
</sst>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CHF&quot;_-;\-* #,##0.00\ &quot;CHF&quot;_-;_-* &quot;-&quot;??\ &quot;CHF&quot;_-;_-@_-"/>
    <numFmt numFmtId="164" formatCode="[$-F400]h:mm:ss\ AM/PM"/>
    <numFmt numFmtId="165" formatCode="hh\.mm&quot; h&quot;;@"/>
    <numFmt numFmtId="166" formatCode="_-* #,##0.00\ [$USD]_-;\-* #,##0.00\ [$USD]_-;_-* &quot;-&quot;??\ [$USD]_-;_-@_-"/>
    <numFmt numFmtId="167" formatCode="#,##0.00\ &quot;CHF&quot;"/>
    <numFmt numFmtId="168" formatCode="#,##0.00\ [$USD]"/>
    <numFmt numFmtId="169" formatCode="_-* #,##0.00\ [$CHF-100C]_-;\-* #,##0.00\ [$CHF-100C]_-;_-* &quot;-&quot;??\ [$CHF-100C]_-;_-@_-"/>
    <numFmt numFmtId="170" formatCode="_-* #,##0\ [$CHF-100C]_-;\-* #,##0\ [$CHF-100C]_-;_-* &quot;-&quot;??\ [$CHF-100C]_-;_-@_-"/>
    <numFmt numFmtId="171" formatCode="0.0"/>
    <numFmt numFmtId="172" formatCode="#,##0.0"/>
  </numFmts>
  <fonts count="40" x14ac:knownFonts="1">
    <font>
      <sz val="11"/>
      <color theme="1"/>
      <name val="Tw Cen MT"/>
      <family val="2"/>
      <scheme val="minor"/>
    </font>
    <font>
      <sz val="8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9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u/>
      <sz val="11"/>
      <color theme="1"/>
      <name val="Tw Cen MT"/>
      <family val="2"/>
      <scheme val="minor"/>
    </font>
    <font>
      <sz val="11"/>
      <color rgb="FFFF0000"/>
      <name val="Tw Cen MT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Arial"/>
      <family val="2"/>
    </font>
    <font>
      <sz val="9"/>
      <color theme="8" tint="-0.249977111117893"/>
      <name val="Arial"/>
      <family val="2"/>
    </font>
    <font>
      <i/>
      <sz val="11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sz val="11"/>
      <color theme="8" tint="-0.249977111117893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b/>
      <sz val="5"/>
      <color theme="1"/>
      <name val="Arial"/>
      <family val="2"/>
    </font>
    <font>
      <sz val="11"/>
      <color theme="1"/>
      <name val="Tw Cen MT"/>
      <family val="2"/>
      <scheme val="minor"/>
    </font>
    <font>
      <sz val="11"/>
      <name val="Arial"/>
      <family val="2"/>
    </font>
    <font>
      <i/>
      <sz val="11"/>
      <color theme="1"/>
      <name val="Tw Cen MT"/>
      <family val="2"/>
      <scheme val="minor"/>
    </font>
    <font>
      <sz val="9"/>
      <name val="Arial"/>
      <family val="2"/>
    </font>
    <font>
      <sz val="11"/>
      <color theme="0"/>
      <name val="Tw Cen MT"/>
      <family val="2"/>
      <scheme val="minor"/>
    </font>
    <font>
      <sz val="10"/>
      <name val="Arial"/>
      <family val="2"/>
    </font>
    <font>
      <sz val="11"/>
      <color rgb="FFFF0000"/>
      <name val="Arial"/>
      <family val="2"/>
    </font>
    <font>
      <sz val="11"/>
      <color rgb="FF006100"/>
      <name val="Tw Cen MT"/>
      <family val="2"/>
      <scheme val="minor"/>
    </font>
    <font>
      <i/>
      <sz val="11"/>
      <name val="Arial"/>
      <family val="2"/>
    </font>
    <font>
      <sz val="8"/>
      <color rgb="FF000000"/>
      <name val="Segoe UI"/>
      <family val="2"/>
    </font>
    <font>
      <sz val="1"/>
      <name val="Arial"/>
      <family val="2"/>
    </font>
    <font>
      <sz val="8"/>
      <name val="Arial"/>
      <family val="2"/>
    </font>
    <font>
      <sz val="8"/>
      <color rgb="FFB979AE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979A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1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ck">
        <color indexed="64"/>
      </top>
      <bottom style="hair">
        <color auto="1"/>
      </bottom>
      <diagonal/>
    </border>
    <border>
      <left/>
      <right style="medium">
        <color auto="1"/>
      </right>
      <top style="thick">
        <color indexed="64"/>
      </top>
      <bottom style="hair">
        <color auto="1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hair">
        <color auto="1"/>
      </right>
      <top style="thick">
        <color indexed="64"/>
      </top>
      <bottom style="hair">
        <color indexed="64"/>
      </bottom>
      <diagonal/>
    </border>
    <border>
      <left/>
      <right style="hair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4" fillId="22" borderId="0" applyNumberFormat="0" applyBorder="0" applyAlignment="0" applyProtection="0"/>
  </cellStyleXfs>
  <cellXfs count="554">
    <xf numFmtId="0" fontId="0" fillId="0" borderId="0" xfId="0"/>
    <xf numFmtId="14" fontId="0" fillId="0" borderId="0" xfId="0" applyNumberFormat="1"/>
    <xf numFmtId="0" fontId="0" fillId="0" borderId="1" xfId="0" applyBorder="1"/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 applyProtection="1">
      <alignment horizontal="center"/>
      <protection hidden="1"/>
    </xf>
    <xf numFmtId="20" fontId="0" fillId="0" borderId="0" xfId="0" applyNumberFormat="1"/>
    <xf numFmtId="49" fontId="0" fillId="0" borderId="0" xfId="0" applyNumberFormat="1"/>
    <xf numFmtId="9" fontId="0" fillId="0" borderId="0" xfId="0" applyNumberFormat="1"/>
    <xf numFmtId="2" fontId="0" fillId="0" borderId="0" xfId="0" applyNumberFormat="1"/>
    <xf numFmtId="165" fontId="0" fillId="2" borderId="2" xfId="0" applyNumberFormat="1" applyFill="1" applyBorder="1" applyAlignment="1">
      <alignment horizontal="center"/>
    </xf>
    <xf numFmtId="164" fontId="0" fillId="2" borderId="2" xfId="0" applyNumberFormat="1" applyFill="1" applyBorder="1"/>
    <xf numFmtId="0" fontId="0" fillId="2" borderId="1" xfId="0" applyFill="1" applyBorder="1"/>
    <xf numFmtId="49" fontId="0" fillId="3" borderId="3" xfId="0" applyNumberFormat="1" applyFill="1" applyBorder="1"/>
    <xf numFmtId="0" fontId="0" fillId="3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1" fontId="1" fillId="0" borderId="2" xfId="0" applyNumberFormat="1" applyFont="1" applyBorder="1" applyAlignment="1">
      <alignment horizontal="center"/>
    </xf>
    <xf numFmtId="16" fontId="0" fillId="0" borderId="0" xfId="0" applyNumberFormat="1"/>
    <xf numFmtId="16" fontId="0" fillId="0" borderId="2" xfId="0" applyNumberFormat="1" applyBorder="1"/>
    <xf numFmtId="16" fontId="0" fillId="2" borderId="2" xfId="0" applyNumberFormat="1" applyFill="1" applyBorder="1"/>
    <xf numFmtId="164" fontId="1" fillId="0" borderId="3" xfId="0" applyNumberFormat="1" applyFont="1" applyBorder="1" applyAlignment="1">
      <alignment horizontal="center"/>
    </xf>
    <xf numFmtId="164" fontId="0" fillId="0" borderId="3" xfId="0" applyNumberFormat="1" applyBorder="1"/>
    <xf numFmtId="16" fontId="0" fillId="0" borderId="5" xfId="0" applyNumberFormat="1" applyBorder="1"/>
    <xf numFmtId="20" fontId="0" fillId="0" borderId="3" xfId="0" applyNumberFormat="1" applyBorder="1" applyAlignment="1">
      <alignment horizontal="center"/>
    </xf>
    <xf numFmtId="165" fontId="0" fillId="0" borderId="2" xfId="0" applyNumberFormat="1" applyBorder="1"/>
    <xf numFmtId="165" fontId="0" fillId="2" borderId="2" xfId="0" applyNumberFormat="1" applyFill="1" applyBorder="1"/>
    <xf numFmtId="165" fontId="0" fillId="0" borderId="0" xfId="0" applyNumberFormat="1"/>
    <xf numFmtId="0" fontId="0" fillId="0" borderId="9" xfId="0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0" fillId="0" borderId="9" xfId="0" applyNumberFormat="1" applyBorder="1"/>
    <xf numFmtId="165" fontId="0" fillId="0" borderId="9" xfId="0" applyNumberFormat="1" applyBorder="1"/>
    <xf numFmtId="0" fontId="0" fillId="4" borderId="1" xfId="0" applyFill="1" applyBorder="1"/>
    <xf numFmtId="16" fontId="0" fillId="4" borderId="2" xfId="0" applyNumberFormat="1" applyFill="1" applyBorder="1"/>
    <xf numFmtId="165" fontId="0" fillId="4" borderId="2" xfId="0" applyNumberFormat="1" applyFill="1" applyBorder="1" applyAlignment="1">
      <alignment horizontal="center"/>
    </xf>
    <xf numFmtId="165" fontId="0" fillId="4" borderId="2" xfId="0" applyNumberFormat="1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3" borderId="10" xfId="0" applyFill="1" applyBorder="1"/>
    <xf numFmtId="0" fontId="0" fillId="3" borderId="9" xfId="0" applyFill="1" applyBorder="1"/>
    <xf numFmtId="0" fontId="0" fillId="3" borderId="0" xfId="0" applyFill="1" applyAlignment="1">
      <alignment horizontal="center"/>
    </xf>
    <xf numFmtId="20" fontId="0" fillId="0" borderId="9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5" xfId="0" applyNumberFormat="1" applyBorder="1"/>
    <xf numFmtId="0" fontId="0" fillId="5" borderId="1" xfId="0" applyFill="1" applyBorder="1"/>
    <xf numFmtId="16" fontId="0" fillId="5" borderId="2" xfId="0" applyNumberFormat="1" applyFill="1" applyBorder="1"/>
    <xf numFmtId="165" fontId="0" fillId="5" borderId="2" xfId="0" applyNumberFormat="1" applyFill="1" applyBorder="1" applyAlignment="1">
      <alignment horizontal="center"/>
    </xf>
    <xf numFmtId="164" fontId="0" fillId="5" borderId="2" xfId="0" applyNumberFormat="1" applyFill="1" applyBorder="1"/>
    <xf numFmtId="164" fontId="0" fillId="5" borderId="9" xfId="0" applyNumberFormat="1" applyFill="1" applyBorder="1"/>
    <xf numFmtId="0" fontId="0" fillId="5" borderId="0" xfId="0" applyFill="1"/>
    <xf numFmtId="164" fontId="0" fillId="6" borderId="2" xfId="0" applyNumberFormat="1" applyFill="1" applyBorder="1"/>
    <xf numFmtId="165" fontId="0" fillId="2" borderId="5" xfId="0" applyNumberFormat="1" applyFill="1" applyBorder="1" applyAlignment="1">
      <alignment horizontal="center"/>
    </xf>
    <xf numFmtId="164" fontId="0" fillId="0" borderId="0" xfId="0" applyNumberFormat="1"/>
    <xf numFmtId="0" fontId="0" fillId="0" borderId="15" xfId="0" applyBorder="1"/>
    <xf numFmtId="0" fontId="0" fillId="0" borderId="3" xfId="0" applyBorder="1"/>
    <xf numFmtId="165" fontId="1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1" xfId="0" applyFill="1" applyBorder="1"/>
    <xf numFmtId="165" fontId="0" fillId="7" borderId="2" xfId="0" applyNumberForma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20" fontId="0" fillId="0" borderId="2" xfId="0" applyNumberFormat="1" applyBorder="1"/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8" borderId="2" xfId="0" applyFont="1" applyFill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16" fontId="0" fillId="9" borderId="2" xfId="0" applyNumberFormat="1" applyFill="1" applyBorder="1"/>
    <xf numFmtId="165" fontId="0" fillId="9" borderId="2" xfId="0" applyNumberFormat="1" applyFill="1" applyBorder="1" applyAlignment="1">
      <alignment horizontal="center"/>
    </xf>
    <xf numFmtId="164" fontId="0" fillId="9" borderId="2" xfId="0" applyNumberFormat="1" applyFill="1" applyBorder="1"/>
    <xf numFmtId="16" fontId="0" fillId="10" borderId="2" xfId="0" applyNumberFormat="1" applyFill="1" applyBorder="1"/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" fontId="0" fillId="10" borderId="0" xfId="0" applyNumberFormat="1" applyFill="1"/>
    <xf numFmtId="0" fontId="2" fillId="10" borderId="1" xfId="0" applyFont="1" applyFill="1" applyBorder="1" applyAlignment="1">
      <alignment horizontal="center"/>
    </xf>
    <xf numFmtId="164" fontId="0" fillId="10" borderId="3" xfId="0" applyNumberFormat="1" applyFill="1" applyBorder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ill="1"/>
    <xf numFmtId="0" fontId="0" fillId="10" borderId="0" xfId="0" applyFill="1" applyAlignment="1">
      <alignment horizontal="center"/>
    </xf>
    <xf numFmtId="2" fontId="0" fillId="10" borderId="0" xfId="0" applyNumberFormat="1" applyFill="1"/>
    <xf numFmtId="20" fontId="0" fillId="10" borderId="0" xfId="0" applyNumberFormat="1" applyFill="1"/>
    <xf numFmtId="20" fontId="3" fillId="0" borderId="2" xfId="0" applyNumberFormat="1" applyFon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20" fontId="3" fillId="9" borderId="2" xfId="0" applyNumberFormat="1" applyFont="1" applyFill="1" applyBorder="1" applyAlignment="1">
      <alignment horizontal="center"/>
    </xf>
    <xf numFmtId="165" fontId="4" fillId="8" borderId="2" xfId="0" applyNumberFormat="1" applyFont="1" applyFill="1" applyBorder="1" applyAlignment="1">
      <alignment horizontal="center"/>
    </xf>
    <xf numFmtId="165" fontId="4" fillId="9" borderId="2" xfId="0" applyNumberFormat="1" applyFont="1" applyFill="1" applyBorder="1" applyAlignment="1">
      <alignment horizontal="center"/>
    </xf>
    <xf numFmtId="165" fontId="4" fillId="10" borderId="2" xfId="0" applyNumberFormat="1" applyFont="1" applyFill="1" applyBorder="1" applyAlignment="1">
      <alignment horizontal="center"/>
    </xf>
    <xf numFmtId="164" fontId="5" fillId="0" borderId="2" xfId="0" applyNumberFormat="1" applyFont="1" applyBorder="1"/>
    <xf numFmtId="164" fontId="5" fillId="9" borderId="2" xfId="0" applyNumberFormat="1" applyFont="1" applyFill="1" applyBorder="1"/>
    <xf numFmtId="164" fontId="5" fillId="10" borderId="2" xfId="0" applyNumberFormat="1" applyFont="1" applyFill="1" applyBorder="1"/>
    <xf numFmtId="164" fontId="4" fillId="0" borderId="2" xfId="0" applyNumberFormat="1" applyFont="1" applyBorder="1"/>
    <xf numFmtId="164" fontId="4" fillId="9" borderId="2" xfId="0" applyNumberFormat="1" applyFont="1" applyFill="1" applyBorder="1"/>
    <xf numFmtId="164" fontId="4" fillId="10" borderId="2" xfId="0" applyNumberFormat="1" applyFont="1" applyFill="1" applyBorder="1"/>
    <xf numFmtId="164" fontId="0" fillId="11" borderId="3" xfId="0" applyNumberFormat="1" applyFill="1" applyBorder="1"/>
    <xf numFmtId="0" fontId="6" fillId="4" borderId="0" xfId="0" applyFont="1" applyFill="1"/>
    <xf numFmtId="0" fontId="7" fillId="0" borderId="2" xfId="0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8" fillId="0" borderId="0" xfId="0" applyFont="1"/>
    <xf numFmtId="0" fontId="8" fillId="12" borderId="15" xfId="0" applyFont="1" applyFill="1" applyBorder="1" applyAlignment="1">
      <alignment horizontal="center"/>
    </xf>
    <xf numFmtId="0" fontId="8" fillId="12" borderId="16" xfId="0" applyFont="1" applyFill="1" applyBorder="1"/>
    <xf numFmtId="0" fontId="8" fillId="12" borderId="17" xfId="0" applyFont="1" applyFill="1" applyBorder="1" applyAlignment="1">
      <alignment horizontal="center"/>
    </xf>
    <xf numFmtId="0" fontId="8" fillId="12" borderId="18" xfId="0" applyFont="1" applyFill="1" applyBorder="1"/>
    <xf numFmtId="0" fontId="8" fillId="12" borderId="7" xfId="0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" fontId="8" fillId="0" borderId="21" xfId="0" applyNumberFormat="1" applyFont="1" applyBorder="1" applyAlignment="1">
      <alignment horizontal="center"/>
    </xf>
    <xf numFmtId="20" fontId="9" fillId="0" borderId="2" xfId="0" applyNumberFormat="1" applyFont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20" fontId="9" fillId="9" borderId="2" xfId="0" applyNumberFormat="1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8" fillId="12" borderId="18" xfId="0" applyFont="1" applyFill="1" applyBorder="1" applyAlignment="1">
      <alignment horizontal="right"/>
    </xf>
    <xf numFmtId="0" fontId="8" fillId="12" borderId="10" xfId="0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16" fontId="8" fillId="12" borderId="14" xfId="0" applyNumberFormat="1" applyFont="1" applyFill="1" applyBorder="1" applyAlignment="1">
      <alignment horizontal="center"/>
    </xf>
    <xf numFmtId="0" fontId="8" fillId="12" borderId="19" xfId="0" applyFont="1" applyFill="1" applyBorder="1"/>
    <xf numFmtId="14" fontId="8" fillId="0" borderId="0" xfId="0" applyNumberFormat="1" applyFont="1"/>
    <xf numFmtId="9" fontId="8" fillId="0" borderId="0" xfId="0" applyNumberFormat="1" applyFont="1"/>
    <xf numFmtId="2" fontId="8" fillId="0" borderId="0" xfId="0" applyNumberFormat="1" applyFont="1"/>
    <xf numFmtId="20" fontId="8" fillId="0" borderId="0" xfId="0" applyNumberFormat="1" applyFont="1"/>
    <xf numFmtId="16" fontId="8" fillId="0" borderId="0" xfId="0" applyNumberFormat="1" applyFont="1"/>
    <xf numFmtId="0" fontId="11" fillId="5" borderId="1" xfId="0" applyFont="1" applyFill="1" applyBorder="1" applyAlignment="1">
      <alignment horizontal="center"/>
    </xf>
    <xf numFmtId="16" fontId="8" fillId="5" borderId="21" xfId="0" applyNumberFormat="1" applyFont="1" applyFill="1" applyBorder="1" applyAlignment="1">
      <alignment horizontal="center"/>
    </xf>
    <xf numFmtId="20" fontId="9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0" borderId="18" xfId="0" applyFont="1" applyBorder="1"/>
    <xf numFmtId="0" fontId="12" fillId="5" borderId="2" xfId="0" applyFont="1" applyFill="1" applyBorder="1" applyAlignment="1">
      <alignment horizontal="center"/>
    </xf>
    <xf numFmtId="20" fontId="13" fillId="0" borderId="3" xfId="0" applyNumberFormat="1" applyFont="1" applyBorder="1" applyAlignment="1">
      <alignment horizontal="center"/>
    </xf>
    <xf numFmtId="20" fontId="10" fillId="0" borderId="15" xfId="0" applyNumberFormat="1" applyFont="1" applyBorder="1" applyAlignment="1">
      <alignment horizontal="center"/>
    </xf>
    <xf numFmtId="20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20" fontId="10" fillId="0" borderId="0" xfId="0" applyNumberFormat="1" applyFont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20" fontId="10" fillId="5" borderId="0" xfId="0" applyNumberFormat="1" applyFont="1" applyFill="1" applyAlignment="1">
      <alignment horizontal="center"/>
    </xf>
    <xf numFmtId="0" fontId="10" fillId="5" borderId="18" xfId="0" applyFont="1" applyFill="1" applyBorder="1" applyAlignment="1">
      <alignment horizontal="center"/>
    </xf>
    <xf numFmtId="20" fontId="10" fillId="0" borderId="18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21" fontId="14" fillId="0" borderId="2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14" fontId="9" fillId="0" borderId="0" xfId="0" applyNumberFormat="1" applyFont="1"/>
    <xf numFmtId="16" fontId="15" fillId="0" borderId="0" xfId="0" applyNumberFormat="1" applyFont="1"/>
    <xf numFmtId="0" fontId="8" fillId="0" borderId="0" xfId="0" applyFont="1" applyAlignment="1">
      <alignment horizontal="center"/>
    </xf>
    <xf numFmtId="0" fontId="8" fillId="0" borderId="24" xfId="0" applyFont="1" applyBorder="1"/>
    <xf numFmtId="0" fontId="17" fillId="0" borderId="26" xfId="0" quotePrefix="1" applyFont="1" applyBorder="1"/>
    <xf numFmtId="0" fontId="17" fillId="0" borderId="28" xfId="0" applyFont="1" applyBorder="1"/>
    <xf numFmtId="2" fontId="10" fillId="0" borderId="0" xfId="0" applyNumberFormat="1" applyFont="1" applyAlignment="1">
      <alignment horizontal="center"/>
    </xf>
    <xf numFmtId="2" fontId="10" fillId="5" borderId="0" xfId="0" applyNumberFormat="1" applyFont="1" applyFill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0" fontId="17" fillId="0" borderId="31" xfId="0" applyFont="1" applyBorder="1"/>
    <xf numFmtId="0" fontId="10" fillId="0" borderId="0" xfId="0" applyFont="1" applyAlignment="1">
      <alignment horizontal="left"/>
    </xf>
    <xf numFmtId="0" fontId="10" fillId="12" borderId="7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20" fontId="19" fillId="13" borderId="2" xfId="0" applyNumberFormat="1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1" fillId="13" borderId="2" xfId="0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" fontId="8" fillId="13" borderId="21" xfId="0" applyNumberFormat="1" applyFont="1" applyFill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20" fontId="9" fillId="14" borderId="2" xfId="0" applyNumberFormat="1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20" fontId="19" fillId="14" borderId="2" xfId="0" applyNumberFormat="1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4" fillId="14" borderId="2" xfId="0" applyFont="1" applyFill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11" fillId="15" borderId="1" xfId="0" applyFont="1" applyFill="1" applyBorder="1" applyAlignment="1">
      <alignment horizontal="center"/>
    </xf>
    <xf numFmtId="16" fontId="8" fillId="15" borderId="21" xfId="0" applyNumberFormat="1" applyFont="1" applyFill="1" applyBorder="1" applyAlignment="1">
      <alignment horizontal="center"/>
    </xf>
    <xf numFmtId="20" fontId="9" fillId="15" borderId="2" xfId="0" applyNumberFormat="1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5" borderId="7" xfId="0" applyFont="1" applyFill="1" applyBorder="1"/>
    <xf numFmtId="2" fontId="8" fillId="15" borderId="3" xfId="0" applyNumberFormat="1" applyFont="1" applyFill="1" applyBorder="1" applyAlignment="1">
      <alignment horizontal="center"/>
    </xf>
    <xf numFmtId="0" fontId="10" fillId="15" borderId="17" xfId="0" applyFont="1" applyFill="1" applyBorder="1" applyAlignment="1">
      <alignment horizontal="center"/>
    </xf>
    <xf numFmtId="0" fontId="10" fillId="15" borderId="0" xfId="0" applyFont="1" applyFill="1" applyAlignment="1">
      <alignment horizontal="center"/>
    </xf>
    <xf numFmtId="2" fontId="10" fillId="15" borderId="0" xfId="0" applyNumberFormat="1" applyFont="1" applyFill="1" applyAlignment="1">
      <alignment horizontal="center"/>
    </xf>
    <xf numFmtId="0" fontId="10" fillId="15" borderId="18" xfId="0" applyFont="1" applyFill="1" applyBorder="1" applyAlignment="1">
      <alignment horizontal="center"/>
    </xf>
    <xf numFmtId="20" fontId="10" fillId="15" borderId="0" xfId="0" applyNumberFormat="1" applyFont="1" applyFill="1" applyAlignment="1">
      <alignment horizontal="center"/>
    </xf>
    <xf numFmtId="0" fontId="8" fillId="15" borderId="0" xfId="0" applyFont="1" applyFill="1"/>
    <xf numFmtId="20" fontId="10" fillId="15" borderId="18" xfId="0" applyNumberFormat="1" applyFont="1" applyFill="1" applyBorder="1" applyAlignment="1">
      <alignment horizontal="center"/>
    </xf>
    <xf numFmtId="20" fontId="19" fillId="15" borderId="2" xfId="0" applyNumberFormat="1" applyFont="1" applyFill="1" applyBorder="1" applyAlignment="1">
      <alignment horizontal="center"/>
    </xf>
    <xf numFmtId="0" fontId="24" fillId="15" borderId="2" xfId="0" applyFont="1" applyFill="1" applyBorder="1" applyAlignment="1">
      <alignment horizontal="center"/>
    </xf>
    <xf numFmtId="0" fontId="8" fillId="15" borderId="8" xfId="0" applyFont="1" applyFill="1" applyBorder="1"/>
    <xf numFmtId="0" fontId="10" fillId="15" borderId="10" xfId="0" applyFont="1" applyFill="1" applyBorder="1" applyAlignment="1">
      <alignment horizontal="center"/>
    </xf>
    <xf numFmtId="0" fontId="10" fillId="15" borderId="14" xfId="0" applyFont="1" applyFill="1" applyBorder="1" applyAlignment="1">
      <alignment horizontal="center"/>
    </xf>
    <xf numFmtId="2" fontId="10" fillId="15" borderId="14" xfId="0" applyNumberFormat="1" applyFont="1" applyFill="1" applyBorder="1" applyAlignment="1">
      <alignment horizontal="center"/>
    </xf>
    <xf numFmtId="0" fontId="10" fillId="15" borderId="19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16" fontId="8" fillId="15" borderId="46" xfId="0" applyNumberFormat="1" applyFont="1" applyFill="1" applyBorder="1" applyAlignment="1">
      <alignment horizontal="center"/>
    </xf>
    <xf numFmtId="20" fontId="9" fillId="15" borderId="14" xfId="0" applyNumberFormat="1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8" fillId="15" borderId="14" xfId="0" applyFont="1" applyFill="1" applyBorder="1" applyAlignment="1">
      <alignment horizontal="center"/>
    </xf>
    <xf numFmtId="0" fontId="14" fillId="12" borderId="45" xfId="0" applyFont="1" applyFill="1" applyBorder="1" applyAlignment="1">
      <alignment horizontal="center"/>
    </xf>
    <xf numFmtId="0" fontId="14" fillId="12" borderId="47" xfId="0" applyFont="1" applyFill="1" applyBorder="1" applyAlignment="1">
      <alignment horizontal="center"/>
    </xf>
    <xf numFmtId="21" fontId="14" fillId="12" borderId="45" xfId="0" applyNumberFormat="1" applyFont="1" applyFill="1" applyBorder="1" applyAlignment="1">
      <alignment horizontal="center"/>
    </xf>
    <xf numFmtId="0" fontId="14" fillId="12" borderId="48" xfId="0" applyFont="1" applyFill="1" applyBorder="1" applyAlignment="1">
      <alignment horizontal="center"/>
    </xf>
    <xf numFmtId="0" fontId="14" fillId="12" borderId="4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12" borderId="17" xfId="0" applyFont="1" applyFill="1" applyBorder="1" applyAlignment="1">
      <alignment horizontal="center" vertical="center"/>
    </xf>
    <xf numFmtId="16" fontId="8" fillId="0" borderId="46" xfId="0" applyNumberFormat="1" applyFont="1" applyBorder="1" applyAlignment="1">
      <alignment horizontal="center"/>
    </xf>
    <xf numFmtId="0" fontId="14" fillId="12" borderId="58" xfId="0" applyFont="1" applyFill="1" applyBorder="1" applyAlignment="1">
      <alignment horizontal="center"/>
    </xf>
    <xf numFmtId="16" fontId="8" fillId="15" borderId="59" xfId="0" applyNumberFormat="1" applyFont="1" applyFill="1" applyBorder="1" applyAlignment="1">
      <alignment horizontal="center"/>
    </xf>
    <xf numFmtId="164" fontId="10" fillId="12" borderId="3" xfId="0" applyNumberFormat="1" applyFont="1" applyFill="1" applyBorder="1" applyAlignment="1">
      <alignment horizontal="center"/>
    </xf>
    <xf numFmtId="2" fontId="10" fillId="15" borderId="3" xfId="0" applyNumberFormat="1" applyFont="1" applyFill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2" fontId="9" fillId="15" borderId="2" xfId="0" applyNumberFormat="1" applyFont="1" applyFill="1" applyBorder="1" applyAlignment="1">
      <alignment horizontal="center"/>
    </xf>
    <xf numFmtId="2" fontId="8" fillId="4" borderId="3" xfId="0" applyNumberFormat="1" applyFont="1" applyFill="1" applyBorder="1" applyAlignment="1">
      <alignment horizontal="center"/>
    </xf>
    <xf numFmtId="0" fontId="26" fillId="12" borderId="18" xfId="0" applyFont="1" applyFill="1" applyBorder="1" applyAlignment="1">
      <alignment horizontal="center" vertical="center"/>
    </xf>
    <xf numFmtId="166" fontId="8" fillId="0" borderId="0" xfId="1" applyNumberFormat="1" applyFont="1"/>
    <xf numFmtId="44" fontId="10" fillId="0" borderId="0" xfId="1" applyFont="1"/>
    <xf numFmtId="0" fontId="10" fillId="0" borderId="0" xfId="0" applyFont="1"/>
    <xf numFmtId="167" fontId="8" fillId="0" borderId="0" xfId="0" applyNumberFormat="1" applyFont="1"/>
    <xf numFmtId="44" fontId="8" fillId="0" borderId="0" xfId="1" applyFont="1"/>
    <xf numFmtId="9" fontId="8" fillId="0" borderId="0" xfId="2" applyFont="1" applyFill="1"/>
    <xf numFmtId="168" fontId="8" fillId="0" borderId="0" xfId="0" applyNumberFormat="1" applyFont="1"/>
    <xf numFmtId="168" fontId="8" fillId="0" borderId="0" xfId="1" applyNumberFormat="1" applyFont="1"/>
    <xf numFmtId="169" fontId="8" fillId="0" borderId="0" xfId="0" applyNumberFormat="1" applyFont="1"/>
    <xf numFmtId="170" fontId="9" fillId="0" borderId="0" xfId="0" applyNumberFormat="1" applyFont="1"/>
    <xf numFmtId="170" fontId="17" fillId="0" borderId="0" xfId="0" applyNumberFormat="1" applyFont="1"/>
    <xf numFmtId="0" fontId="10" fillId="15" borderId="0" xfId="0" applyFont="1" applyFill="1" applyAlignment="1">
      <alignment vertical="center"/>
    </xf>
    <xf numFmtId="0" fontId="10" fillId="15" borderId="0" xfId="0" applyFont="1" applyFill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10" fillId="15" borderId="0" xfId="0" applyNumberFormat="1" applyFont="1" applyFill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20" fontId="10" fillId="5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15" borderId="10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0" xfId="0" applyNumberFormat="1" applyFont="1"/>
    <xf numFmtId="0" fontId="8" fillId="4" borderId="2" xfId="0" applyFont="1" applyFill="1" applyBorder="1" applyAlignment="1">
      <alignment horizontal="center"/>
    </xf>
    <xf numFmtId="20" fontId="9" fillId="4" borderId="2" xfId="0" applyNumberFormat="1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171" fontId="8" fillId="0" borderId="0" xfId="0" applyNumberFormat="1" applyFont="1"/>
    <xf numFmtId="0" fontId="28" fillId="4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20" fontId="29" fillId="0" borderId="0" xfId="0" applyNumberFormat="1" applyFont="1" applyAlignment="1">
      <alignment horizontal="center" vertical="center"/>
    </xf>
    <xf numFmtId="0" fontId="0" fillId="9" borderId="64" xfId="0" applyFill="1" applyBorder="1" applyAlignment="1">
      <alignment horizontal="center" vertical="center"/>
    </xf>
    <xf numFmtId="0" fontId="29" fillId="9" borderId="64" xfId="0" applyFont="1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29" fillId="9" borderId="67" xfId="0" applyFont="1" applyFill="1" applyBorder="1" applyAlignment="1">
      <alignment horizontal="center" vertical="center"/>
    </xf>
    <xf numFmtId="0" fontId="0" fillId="9" borderId="47" xfId="0" applyFill="1" applyBorder="1"/>
    <xf numFmtId="0" fontId="0" fillId="9" borderId="61" xfId="0" applyFill="1" applyBorder="1"/>
    <xf numFmtId="0" fontId="0" fillId="9" borderId="58" xfId="0" applyFill="1" applyBorder="1"/>
    <xf numFmtId="0" fontId="0" fillId="9" borderId="70" xfId="0" applyFill="1" applyBorder="1"/>
    <xf numFmtId="0" fontId="0" fillId="9" borderId="71" xfId="0" applyFill="1" applyBorder="1"/>
    <xf numFmtId="16" fontId="0" fillId="9" borderId="70" xfId="0" applyNumberFormat="1" applyFill="1" applyBorder="1" applyAlignment="1">
      <alignment horizontal="center"/>
    </xf>
    <xf numFmtId="0" fontId="0" fillId="9" borderId="70" xfId="0" quotePrefix="1" applyFill="1" applyBorder="1"/>
    <xf numFmtId="0" fontId="0" fillId="9" borderId="70" xfId="0" applyFill="1" applyBorder="1" applyAlignment="1">
      <alignment horizontal="center"/>
    </xf>
    <xf numFmtId="0" fontId="0" fillId="9" borderId="70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29" fillId="9" borderId="69" xfId="0" applyFont="1" applyFill="1" applyBorder="1" applyAlignment="1">
      <alignment horizontal="center" vertical="center"/>
    </xf>
    <xf numFmtId="0" fontId="29" fillId="9" borderId="61" xfId="0" applyFont="1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9" fillId="9" borderId="68" xfId="0" applyFont="1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9" fillId="9" borderId="65" xfId="0" applyFont="1" applyFill="1" applyBorder="1" applyAlignment="1">
      <alignment horizontal="center" vertical="center"/>
    </xf>
    <xf numFmtId="2" fontId="1" fillId="9" borderId="70" xfId="0" applyNumberFormat="1" applyFont="1" applyFill="1" applyBorder="1"/>
    <xf numFmtId="2" fontId="0" fillId="0" borderId="0" xfId="0" applyNumberFormat="1" applyAlignment="1">
      <alignment horizontal="center" vertical="center"/>
    </xf>
    <xf numFmtId="0" fontId="0" fillId="9" borderId="67" xfId="0" applyFill="1" applyBorder="1"/>
    <xf numFmtId="0" fontId="29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65" xfId="0" applyFill="1" applyBorder="1"/>
    <xf numFmtId="0" fontId="0" fillId="9" borderId="27" xfId="0" applyFill="1" applyBorder="1"/>
    <xf numFmtId="0" fontId="0" fillId="9" borderId="69" xfId="0" applyFill="1" applyBorder="1" applyAlignment="1">
      <alignment horizontal="center" vertical="center"/>
    </xf>
    <xf numFmtId="0" fontId="0" fillId="9" borderId="69" xfId="0" applyFill="1" applyBorder="1"/>
    <xf numFmtId="164" fontId="8" fillId="0" borderId="0" xfId="0" applyNumberFormat="1" applyFont="1" applyAlignment="1">
      <alignment horizontal="center"/>
    </xf>
    <xf numFmtId="20" fontId="10" fillId="0" borderId="17" xfId="0" applyNumberFormat="1" applyFont="1" applyBorder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8" fillId="19" borderId="2" xfId="0" applyFont="1" applyFill="1" applyBorder="1" applyAlignment="1">
      <alignment horizontal="center"/>
    </xf>
    <xf numFmtId="21" fontId="8" fillId="0" borderId="0" xfId="0" applyNumberFormat="1" applyFont="1"/>
    <xf numFmtId="20" fontId="9" fillId="2" borderId="2" xfId="0" applyNumberFormat="1" applyFont="1" applyFill="1" applyBorder="1" applyAlignment="1">
      <alignment horizontal="center"/>
    </xf>
    <xf numFmtId="0" fontId="10" fillId="15" borderId="72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center"/>
    </xf>
    <xf numFmtId="0" fontId="10" fillId="15" borderId="63" xfId="0" applyFont="1" applyFill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20" fontId="10" fillId="15" borderId="72" xfId="0" applyNumberFormat="1" applyFont="1" applyFill="1" applyBorder="1" applyAlignment="1">
      <alignment horizontal="left" vertical="center"/>
    </xf>
    <xf numFmtId="20" fontId="10" fillId="5" borderId="72" xfId="0" applyNumberFormat="1" applyFont="1" applyFill="1" applyBorder="1" applyAlignment="1">
      <alignment horizontal="left" vertical="center"/>
    </xf>
    <xf numFmtId="20" fontId="10" fillId="0" borderId="72" xfId="0" applyNumberFormat="1" applyFont="1" applyBorder="1" applyAlignment="1">
      <alignment horizontal="left" vertical="center"/>
    </xf>
    <xf numFmtId="0" fontId="10" fillId="5" borderId="72" xfId="0" applyFont="1" applyFill="1" applyBorder="1" applyAlignment="1">
      <alignment horizontal="left" vertical="center"/>
    </xf>
    <xf numFmtId="0" fontId="10" fillId="15" borderId="73" xfId="0" applyFont="1" applyFill="1" applyBorder="1" applyAlignment="1">
      <alignment horizontal="left" vertical="center"/>
    </xf>
    <xf numFmtId="0" fontId="10" fillId="0" borderId="74" xfId="0" applyFont="1" applyBorder="1" applyAlignment="1">
      <alignment horizontal="left" vertical="center"/>
    </xf>
    <xf numFmtId="10" fontId="8" fillId="0" borderId="0" xfId="0" applyNumberFormat="1" applyFont="1"/>
    <xf numFmtId="20" fontId="30" fillId="15" borderId="2" xfId="0" applyNumberFormat="1" applyFont="1" applyFill="1" applyBorder="1" applyAlignment="1">
      <alignment horizontal="center"/>
    </xf>
    <xf numFmtId="0" fontId="16" fillId="0" borderId="0" xfId="0" applyFont="1"/>
    <xf numFmtId="0" fontId="7" fillId="0" borderId="30" xfId="0" applyFont="1" applyBorder="1"/>
    <xf numFmtId="0" fontId="0" fillId="0" borderId="75" xfId="0" applyBorder="1" applyAlignment="1">
      <alignment horizontal="center" vertical="top"/>
    </xf>
    <xf numFmtId="0" fontId="17" fillId="0" borderId="76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0" fillId="0" borderId="77" xfId="0" applyBorder="1" applyAlignment="1">
      <alignment horizontal="center" vertical="top"/>
    </xf>
    <xf numFmtId="0" fontId="17" fillId="0" borderId="78" xfId="0" applyFont="1" applyBorder="1" applyAlignment="1">
      <alignment horizontal="center" vertical="center"/>
    </xf>
    <xf numFmtId="0" fontId="0" fillId="0" borderId="75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0" fillId="0" borderId="79" xfId="0" applyBorder="1"/>
    <xf numFmtId="0" fontId="33" fillId="0" borderId="80" xfId="0" applyFont="1" applyBorder="1"/>
    <xf numFmtId="0" fontId="0" fillId="0" borderId="80" xfId="0" applyBorder="1"/>
    <xf numFmtId="0" fontId="0" fillId="19" borderId="80" xfId="0" applyFill="1" applyBorder="1"/>
    <xf numFmtId="0" fontId="0" fillId="0" borderId="81" xfId="0" applyBorder="1"/>
    <xf numFmtId="0" fontId="28" fillId="0" borderId="80" xfId="0" applyFont="1" applyBorder="1"/>
    <xf numFmtId="0" fontId="0" fillId="0" borderId="1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82" xfId="0" applyBorder="1" applyAlignment="1">
      <alignment vertical="top"/>
    </xf>
    <xf numFmtId="0" fontId="0" fillId="0" borderId="83" xfId="0" applyBorder="1"/>
    <xf numFmtId="0" fontId="33" fillId="0" borderId="84" xfId="0" applyFont="1" applyBorder="1"/>
    <xf numFmtId="0" fontId="0" fillId="0" borderId="84" xfId="0" applyBorder="1"/>
    <xf numFmtId="0" fontId="0" fillId="19" borderId="84" xfId="0" applyFill="1" applyBorder="1"/>
    <xf numFmtId="0" fontId="0" fillId="0" borderId="85" xfId="0" applyBorder="1"/>
    <xf numFmtId="0" fontId="28" fillId="0" borderId="84" xfId="0" applyFont="1" applyBorder="1"/>
    <xf numFmtId="0" fontId="0" fillId="0" borderId="12" xfId="0" applyBorder="1"/>
    <xf numFmtId="0" fontId="0" fillId="0" borderId="86" xfId="0" applyBorder="1"/>
    <xf numFmtId="0" fontId="33" fillId="0" borderId="87" xfId="0" applyFont="1" applyBorder="1"/>
    <xf numFmtId="0" fontId="0" fillId="0" borderId="87" xfId="0" applyBorder="1"/>
    <xf numFmtId="0" fontId="0" fillId="19" borderId="87" xfId="0" applyFill="1" applyBorder="1"/>
    <xf numFmtId="0" fontId="0" fillId="0" borderId="88" xfId="0" applyBorder="1"/>
    <xf numFmtId="0" fontId="28" fillId="0" borderId="87" xfId="0" applyFont="1" applyBorder="1"/>
    <xf numFmtId="0" fontId="33" fillId="20" borderId="89" xfId="0" applyFont="1" applyFill="1" applyBorder="1"/>
    <xf numFmtId="0" fontId="33" fillId="20" borderId="90" xfId="0" applyFont="1" applyFill="1" applyBorder="1"/>
    <xf numFmtId="0" fontId="0" fillId="20" borderId="90" xfId="0" applyFill="1" applyBorder="1"/>
    <xf numFmtId="0" fontId="0" fillId="19" borderId="90" xfId="0" applyFill="1" applyBorder="1"/>
    <xf numFmtId="0" fontId="0" fillId="20" borderId="91" xfId="0" applyFill="1" applyBorder="1"/>
    <xf numFmtId="0" fontId="0" fillId="20" borderId="89" xfId="0" applyFill="1" applyBorder="1"/>
    <xf numFmtId="2" fontId="0" fillId="20" borderId="11" xfId="0" applyNumberFormat="1" applyFill="1" applyBorder="1"/>
    <xf numFmtId="0" fontId="33" fillId="20" borderId="92" xfId="0" applyFont="1" applyFill="1" applyBorder="1"/>
    <xf numFmtId="0" fontId="33" fillId="20" borderId="84" xfId="0" applyFont="1" applyFill="1" applyBorder="1"/>
    <xf numFmtId="0" fontId="0" fillId="20" borderId="84" xfId="0" applyFill="1" applyBorder="1"/>
    <xf numFmtId="0" fontId="0" fillId="20" borderId="93" xfId="0" applyFill="1" applyBorder="1"/>
    <xf numFmtId="0" fontId="0" fillId="20" borderId="92" xfId="0" applyFill="1" applyBorder="1"/>
    <xf numFmtId="0" fontId="33" fillId="20" borderId="94" xfId="0" applyFont="1" applyFill="1" applyBorder="1"/>
    <xf numFmtId="0" fontId="33" fillId="20" borderId="95" xfId="0" applyFont="1" applyFill="1" applyBorder="1"/>
    <xf numFmtId="0" fontId="0" fillId="20" borderId="95" xfId="0" applyFill="1" applyBorder="1"/>
    <xf numFmtId="0" fontId="0" fillId="19" borderId="95" xfId="0" applyFill="1" applyBorder="1"/>
    <xf numFmtId="0" fontId="0" fillId="20" borderId="96" xfId="0" applyFill="1" applyBorder="1"/>
    <xf numFmtId="0" fontId="0" fillId="20" borderId="94" xfId="0" applyFill="1" applyBorder="1"/>
    <xf numFmtId="2" fontId="0" fillId="20" borderId="13" xfId="0" applyNumberFormat="1" applyFill="1" applyBorder="1"/>
    <xf numFmtId="0" fontId="0" fillId="0" borderId="76" xfId="0" applyBorder="1"/>
    <xf numFmtId="0" fontId="33" fillId="0" borderId="77" xfId="0" applyFont="1" applyBorder="1"/>
    <xf numFmtId="0" fontId="0" fillId="0" borderId="77" xfId="0" applyBorder="1"/>
    <xf numFmtId="0" fontId="0" fillId="19" borderId="77" xfId="0" applyFill="1" applyBorder="1"/>
    <xf numFmtId="0" fontId="0" fillId="0" borderId="98" xfId="0" applyBorder="1"/>
    <xf numFmtId="0" fontId="0" fillId="0" borderId="78" xfId="0" applyBorder="1"/>
    <xf numFmtId="0" fontId="33" fillId="0" borderId="75" xfId="0" applyFont="1" applyBorder="1"/>
    <xf numFmtId="0" fontId="0" fillId="20" borderId="99" xfId="0" applyFill="1" applyBorder="1"/>
    <xf numFmtId="0" fontId="0" fillId="20" borderId="80" xfId="0" applyFill="1" applyBorder="1"/>
    <xf numFmtId="0" fontId="0" fillId="20" borderId="100" xfId="0" applyFill="1" applyBorder="1"/>
    <xf numFmtId="0" fontId="0" fillId="20" borderId="87" xfId="0" applyFill="1" applyBorder="1"/>
    <xf numFmtId="2" fontId="0" fillId="0" borderId="13" xfId="0" applyNumberFormat="1" applyBorder="1" applyAlignment="1">
      <alignment horizontal="center" vertical="center"/>
    </xf>
    <xf numFmtId="0" fontId="0" fillId="0" borderId="101" xfId="0" applyBorder="1"/>
    <xf numFmtId="0" fontId="33" fillId="0" borderId="95" xfId="0" applyFont="1" applyBorder="1"/>
    <xf numFmtId="0" fontId="0" fillId="0" borderId="95" xfId="0" applyBorder="1"/>
    <xf numFmtId="0" fontId="0" fillId="0" borderId="102" xfId="0" applyBorder="1"/>
    <xf numFmtId="2" fontId="0" fillId="0" borderId="13" xfId="0" applyNumberFormat="1" applyBorder="1" applyAlignment="1">
      <alignment vertical="center"/>
    </xf>
    <xf numFmtId="0" fontId="28" fillId="0" borderId="95" xfId="0" applyFont="1" applyBorder="1"/>
    <xf numFmtId="0" fontId="0" fillId="0" borderId="13" xfId="0" applyBorder="1"/>
    <xf numFmtId="2" fontId="0" fillId="0" borderId="25" xfId="0" applyNumberFormat="1" applyBorder="1" applyAlignment="1">
      <alignment horizontal="center" vertical="center"/>
    </xf>
    <xf numFmtId="2" fontId="0" fillId="0" borderId="12" xfId="0" applyNumberFormat="1" applyBorder="1" applyAlignment="1">
      <alignment vertical="center"/>
    </xf>
    <xf numFmtId="0" fontId="0" fillId="0" borderId="103" xfId="0" applyBorder="1"/>
    <xf numFmtId="0" fontId="0" fillId="0" borderId="27" xfId="0" applyBorder="1"/>
    <xf numFmtId="0" fontId="0" fillId="0" borderId="72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10" xfId="0" applyBorder="1"/>
    <xf numFmtId="0" fontId="0" fillId="0" borderId="111" xfId="0" applyBorder="1"/>
    <xf numFmtId="172" fontId="10" fillId="0" borderId="112" xfId="0" applyNumberFormat="1" applyFont="1" applyBorder="1"/>
    <xf numFmtId="0" fontId="0" fillId="0" borderId="112" xfId="0" applyBorder="1"/>
    <xf numFmtId="0" fontId="0" fillId="0" borderId="113" xfId="0" applyBorder="1"/>
    <xf numFmtId="0" fontId="0" fillId="4" borderId="80" xfId="0" applyFill="1" applyBorder="1"/>
    <xf numFmtId="0" fontId="0" fillId="4" borderId="84" xfId="0" applyFill="1" applyBorder="1"/>
    <xf numFmtId="0" fontId="0" fillId="4" borderId="95" xfId="0" applyFill="1" applyBorder="1"/>
    <xf numFmtId="0" fontId="0" fillId="4" borderId="87" xfId="0" applyFill="1" applyBorder="1"/>
    <xf numFmtId="0" fontId="0" fillId="4" borderId="77" xfId="0" applyFill="1" applyBorder="1"/>
    <xf numFmtId="0" fontId="31" fillId="4" borderId="80" xfId="0" applyFont="1" applyFill="1" applyBorder="1"/>
    <xf numFmtId="0" fontId="31" fillId="4" borderId="84" xfId="0" applyFont="1" applyFill="1" applyBorder="1"/>
    <xf numFmtId="0" fontId="31" fillId="4" borderId="87" xfId="0" applyFont="1" applyFill="1" applyBorder="1"/>
    <xf numFmtId="0" fontId="0" fillId="4" borderId="81" xfId="0" applyFill="1" applyBorder="1"/>
    <xf numFmtId="0" fontId="0" fillId="4" borderId="85" xfId="0" applyFill="1" applyBorder="1"/>
    <xf numFmtId="0" fontId="0" fillId="4" borderId="102" xfId="0" applyFill="1" applyBorder="1"/>
    <xf numFmtId="0" fontId="33" fillId="4" borderId="77" xfId="0" applyFont="1" applyFill="1" applyBorder="1"/>
    <xf numFmtId="168" fontId="10" fillId="0" borderId="0" xfId="0" applyNumberFormat="1" applyFont="1"/>
    <xf numFmtId="0" fontId="12" fillId="15" borderId="2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right"/>
    </xf>
    <xf numFmtId="49" fontId="8" fillId="12" borderId="14" xfId="0" applyNumberFormat="1" applyFont="1" applyFill="1" applyBorder="1" applyAlignment="1">
      <alignment horizontal="center"/>
    </xf>
    <xf numFmtId="20" fontId="9" fillId="21" borderId="2" xfId="0" applyNumberFormat="1" applyFont="1" applyFill="1" applyBorder="1" applyAlignment="1">
      <alignment horizontal="center"/>
    </xf>
    <xf numFmtId="20" fontId="30" fillId="21" borderId="2" xfId="0" applyNumberFormat="1" applyFont="1" applyFill="1" applyBorder="1" applyAlignment="1">
      <alignment horizontal="center"/>
    </xf>
    <xf numFmtId="0" fontId="34" fillId="22" borderId="14" xfId="3" applyBorder="1" applyAlignment="1">
      <alignment horizontal="center"/>
    </xf>
    <xf numFmtId="20" fontId="30" fillId="4" borderId="2" xfId="0" applyNumberFormat="1" applyFont="1" applyFill="1" applyBorder="1" applyAlignment="1">
      <alignment horizontal="center"/>
    </xf>
    <xf numFmtId="0" fontId="35" fillId="9" borderId="2" xfId="0" applyFont="1" applyFill="1" applyBorder="1" applyAlignment="1">
      <alignment horizontal="center"/>
    </xf>
    <xf numFmtId="20" fontId="30" fillId="0" borderId="2" xfId="0" applyNumberFormat="1" applyFont="1" applyBorder="1" applyAlignment="1">
      <alignment horizontal="center"/>
    </xf>
    <xf numFmtId="0" fontId="35" fillId="16" borderId="2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right"/>
    </xf>
    <xf numFmtId="0" fontId="37" fillId="0" borderId="0" xfId="0" applyFont="1"/>
    <xf numFmtId="0" fontId="38" fillId="15" borderId="17" xfId="0" applyFont="1" applyFill="1" applyBorder="1" applyAlignment="1">
      <alignment horizontal="center" vertical="center"/>
    </xf>
    <xf numFmtId="0" fontId="38" fillId="15" borderId="0" xfId="0" applyFont="1" applyFill="1" applyAlignment="1">
      <alignment horizontal="center" vertical="center"/>
    </xf>
    <xf numFmtId="0" fontId="38" fillId="15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6" borderId="15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65" fontId="0" fillId="6" borderId="16" xfId="0" applyNumberFormat="1" applyFill="1" applyBorder="1" applyAlignment="1">
      <alignment horizontal="center" vertical="center"/>
    </xf>
    <xf numFmtId="165" fontId="0" fillId="6" borderId="17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18" xfId="0" applyNumberFormat="1" applyFill="1" applyBorder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5" fontId="0" fillId="6" borderId="14" xfId="0" applyNumberFormat="1" applyFill="1" applyBorder="1" applyAlignment="1">
      <alignment horizontal="center" vertical="center"/>
    </xf>
    <xf numFmtId="165" fontId="0" fillId="6" borderId="19" xfId="0" applyNumberFormat="1" applyFill="1" applyBorder="1" applyAlignment="1">
      <alignment horizontal="center" vertical="center"/>
    </xf>
    <xf numFmtId="14" fontId="18" fillId="12" borderId="2" xfId="0" applyNumberFormat="1" applyFont="1" applyFill="1" applyBorder="1" applyAlignment="1">
      <alignment horizontal="center"/>
    </xf>
    <xf numFmtId="14" fontId="8" fillId="12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16" fillId="0" borderId="22" xfId="0" applyNumberFormat="1" applyFont="1" applyBorder="1" applyAlignment="1">
      <alignment horizontal="center"/>
    </xf>
    <xf numFmtId="14" fontId="16" fillId="0" borderId="23" xfId="0" applyNumberFormat="1" applyFont="1" applyBorder="1" applyAlignment="1">
      <alignment horizontal="center"/>
    </xf>
    <xf numFmtId="14" fontId="9" fillId="0" borderId="25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29" xfId="0" applyNumberFormat="1" applyFont="1" applyBorder="1" applyAlignment="1">
      <alignment horizontal="center"/>
    </xf>
    <xf numFmtId="14" fontId="9" fillId="0" borderId="30" xfId="0" applyNumberFormat="1" applyFont="1" applyBorder="1" applyAlignment="1">
      <alignment horizontal="center"/>
    </xf>
    <xf numFmtId="0" fontId="10" fillId="12" borderId="7" xfId="0" applyFont="1" applyFill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/>
    </xf>
    <xf numFmtId="14" fontId="9" fillId="0" borderId="39" xfId="0" applyNumberFormat="1" applyFont="1" applyBorder="1" applyAlignment="1">
      <alignment horizontal="center"/>
    </xf>
    <xf numFmtId="14" fontId="9" fillId="0" borderId="40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16" fillId="0" borderId="2" xfId="0" applyNumberFormat="1" applyFont="1" applyBorder="1" applyAlignment="1">
      <alignment horizontal="center"/>
    </xf>
    <xf numFmtId="14" fontId="9" fillId="0" borderId="41" xfId="0" applyNumberFormat="1" applyFont="1" applyBorder="1" applyAlignment="1">
      <alignment horizontal="center"/>
    </xf>
    <xf numFmtId="14" fontId="9" fillId="0" borderId="42" xfId="0" applyNumberFormat="1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14" fontId="9" fillId="0" borderId="43" xfId="0" applyNumberFormat="1" applyFont="1" applyBorder="1" applyAlignment="1">
      <alignment horizontal="center"/>
    </xf>
    <xf numFmtId="14" fontId="9" fillId="0" borderId="44" xfId="0" applyNumberFormat="1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34" xfId="0" quotePrefix="1" applyFont="1" applyBorder="1" applyAlignment="1">
      <alignment horizontal="center"/>
    </xf>
    <xf numFmtId="0" fontId="17" fillId="0" borderId="35" xfId="0" quotePrefix="1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2" xfId="0" quotePrefix="1" applyFont="1" applyBorder="1" applyAlignment="1">
      <alignment horizontal="center"/>
    </xf>
    <xf numFmtId="0" fontId="17" fillId="0" borderId="33" xfId="0" quotePrefix="1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7" fillId="17" borderId="32" xfId="0" applyFont="1" applyFill="1" applyBorder="1" applyAlignment="1">
      <alignment horizontal="center"/>
    </xf>
    <xf numFmtId="0" fontId="17" fillId="17" borderId="33" xfId="0" applyFont="1" applyFill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17" borderId="32" xfId="0" quotePrefix="1" applyFont="1" applyFill="1" applyBorder="1" applyAlignment="1">
      <alignment horizontal="center"/>
    </xf>
    <xf numFmtId="0" fontId="17" fillId="17" borderId="33" xfId="0" quotePrefix="1" applyFont="1" applyFill="1" applyBorder="1" applyAlignment="1">
      <alignment horizontal="center"/>
    </xf>
    <xf numFmtId="0" fontId="8" fillId="17" borderId="32" xfId="0" applyFont="1" applyFill="1" applyBorder="1" applyAlignment="1">
      <alignment horizontal="center"/>
    </xf>
    <xf numFmtId="0" fontId="8" fillId="17" borderId="33" xfId="0" applyFont="1" applyFill="1" applyBorder="1" applyAlignment="1">
      <alignment horizontal="center"/>
    </xf>
    <xf numFmtId="14" fontId="16" fillId="0" borderId="54" xfId="0" applyNumberFormat="1" applyFont="1" applyBorder="1" applyAlignment="1">
      <alignment horizontal="center"/>
    </xf>
    <xf numFmtId="14" fontId="9" fillId="0" borderId="52" xfId="0" applyNumberFormat="1" applyFont="1" applyBorder="1" applyAlignment="1">
      <alignment horizontal="center"/>
    </xf>
    <xf numFmtId="14" fontId="9" fillId="0" borderId="53" xfId="0" applyNumberFormat="1" applyFont="1" applyBorder="1" applyAlignment="1">
      <alignment horizontal="center"/>
    </xf>
    <xf numFmtId="0" fontId="17" fillId="17" borderId="50" xfId="0" applyFont="1" applyFill="1" applyBorder="1" applyAlignment="1">
      <alignment horizontal="center"/>
    </xf>
    <xf numFmtId="0" fontId="17" fillId="17" borderId="51" xfId="0" applyFont="1" applyFill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164" fontId="25" fillId="12" borderId="60" xfId="0" applyNumberFormat="1" applyFont="1" applyFill="1" applyBorder="1" applyAlignment="1">
      <alignment horizontal="center"/>
    </xf>
    <xf numFmtId="164" fontId="25" fillId="12" borderId="61" xfId="0" applyNumberFormat="1" applyFont="1" applyFill="1" applyBorder="1" applyAlignment="1">
      <alignment horizontal="center"/>
    </xf>
    <xf numFmtId="164" fontId="25" fillId="12" borderId="62" xfId="0" applyNumberFormat="1" applyFont="1" applyFill="1" applyBorder="1" applyAlignment="1">
      <alignment horizontal="center"/>
    </xf>
    <xf numFmtId="0" fontId="17" fillId="0" borderId="50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34" fillId="22" borderId="38" xfId="3" applyBorder="1" applyAlignment="1">
      <alignment horizontal="center"/>
    </xf>
    <xf numFmtId="0" fontId="34" fillId="22" borderId="9" xfId="3" applyBorder="1" applyAlignment="1">
      <alignment horizontal="center"/>
    </xf>
    <xf numFmtId="0" fontId="38" fillId="8" borderId="17" xfId="0" applyFont="1" applyFill="1" applyBorder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0" fontId="39" fillId="8" borderId="18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82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114" xfId="0" applyBorder="1" applyAlignment="1">
      <alignment horizontal="center" vertical="top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114" xfId="0" applyBorder="1" applyAlignment="1">
      <alignment horizontal="left"/>
    </xf>
    <xf numFmtId="0" fontId="0" fillId="20" borderId="12" xfId="0" applyFill="1" applyBorder="1" applyAlignment="1">
      <alignment horizontal="center" vertical="center" textRotation="90"/>
    </xf>
    <xf numFmtId="2" fontId="0" fillId="0" borderId="12" xfId="0" applyNumberFormat="1" applyBorder="1" applyAlignment="1">
      <alignment horizontal="justify" vertical="center"/>
    </xf>
    <xf numFmtId="2" fontId="0" fillId="0" borderId="97" xfId="0" applyNumberFormat="1" applyBorder="1" applyAlignment="1">
      <alignment horizontal="justify" vertical="center"/>
    </xf>
    <xf numFmtId="0" fontId="16" fillId="0" borderId="0" xfId="0" applyFont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</cellXfs>
  <cellStyles count="4">
    <cellStyle name="Monétaire" xfId="1" builtinId="4"/>
    <cellStyle name="Normal" xfId="0" builtinId="0"/>
    <cellStyle name="Pourcentage" xfId="2" builtinId="5"/>
    <cellStyle name="Satisfaisant" xfId="3" builtinId="26"/>
  </cellStyles>
  <dxfs count="155"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darkUp"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lightDown">
          <fgColor auto="1"/>
          <bgColor theme="0" tint="-0.14993743705557422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B979AE"/>
      <color rgb="FFE0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'Novembre 2021'!$D$55</c:f>
              <c:strCache>
                <c:ptCount val="1"/>
                <c:pt idx="0">
                  <c:v> 1er sem.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'Novembre 2021'!$C$56:$C$62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'Novembre 2021'!$D$56:$D$62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183A-4A1A-B34C-1DC97AA1EA68}"/>
            </c:ext>
          </c:extLst>
        </c:ser>
        <c:ser>
          <c:idx val="1"/>
          <c:order val="1"/>
          <c:tx>
            <c:strRef>
              <c:f>'Novembre 2021'!$E$55</c:f>
              <c:strCache>
                <c:ptCount val="1"/>
                <c:pt idx="0">
                  <c:v>2ème sem.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'Novembre 2021'!$C$56:$C$62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'Novembre 2021'!$E$56:$E$62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183A-4A1A-B34C-1DC97AA1EA68}"/>
            </c:ext>
          </c:extLst>
        </c:ser>
        <c:ser>
          <c:idx val="2"/>
          <c:order val="2"/>
          <c:tx>
            <c:strRef>
              <c:f>'Novembre 2021'!$F$55</c:f>
              <c:strCache>
                <c:ptCount val="1"/>
                <c:pt idx="0">
                  <c:v>Tot.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'Novembre 2021'!$C$56:$C$62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'Novembre 2021'!$F$56:$F$62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183A-4A1A-B34C-1DC97AA1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8984"/>
        <c:axId val="187135456"/>
      </c:radarChart>
      <c:catAx>
        <c:axId val="18713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5456"/>
        <c:crosses val="autoZero"/>
        <c:auto val="1"/>
        <c:lblAlgn val="ctr"/>
        <c:lblOffset val="100"/>
        <c:noMultiLvlLbl val="0"/>
      </c:catAx>
      <c:valAx>
        <c:axId val="187135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'Février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'Février 2022'!$C$56:$C$62</c:f>
              <c:numCache>
                <c:formatCode>General</c:formatCode>
                <c:ptCount val="7"/>
              </c:numCache>
            </c:numRef>
          </c:cat>
          <c:val>
            <c:numRef>
              <c:f>'Février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E450-49A8-9709-01FD25CD87A6}"/>
            </c:ext>
          </c:extLst>
        </c:ser>
        <c:ser>
          <c:idx val="1"/>
          <c:order val="1"/>
          <c:tx>
            <c:strRef>
              <c:f>'Février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'Février 2022'!$C$56:$C$62</c:f>
              <c:numCache>
                <c:formatCode>General</c:formatCode>
                <c:ptCount val="7"/>
              </c:numCache>
            </c:numRef>
          </c:cat>
          <c:val>
            <c:numRef>
              <c:f>'Février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E450-49A8-9709-01FD25CD87A6}"/>
            </c:ext>
          </c:extLst>
        </c:ser>
        <c:ser>
          <c:idx val="2"/>
          <c:order val="2"/>
          <c:tx>
            <c:strRef>
              <c:f>'Février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'Février 2022'!$C$56:$C$62</c:f>
              <c:numCache>
                <c:formatCode>General</c:formatCode>
                <c:ptCount val="7"/>
              </c:numCache>
            </c:numRef>
          </c:cat>
          <c:val>
            <c:numRef>
              <c:f>'Février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E450-49A8-9709-01FD25CD8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1928"/>
        <c:axId val="187136240"/>
      </c:radarChart>
      <c:catAx>
        <c:axId val="1871319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6240"/>
        <c:crosses val="autoZero"/>
        <c:auto val="1"/>
        <c:lblAlgn val="ctr"/>
        <c:lblOffset val="100"/>
        <c:noMultiLvlLbl val="0"/>
      </c:catAx>
      <c:valAx>
        <c:axId val="187136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'Mars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'Mars 2022'!$C$56:$C$62</c:f>
              <c:numCache>
                <c:formatCode>General</c:formatCode>
                <c:ptCount val="7"/>
              </c:numCache>
            </c:numRef>
          </c:cat>
          <c:val>
            <c:numRef>
              <c:f>'Mars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937-47EC-BAFA-980564FE9345}"/>
            </c:ext>
          </c:extLst>
        </c:ser>
        <c:ser>
          <c:idx val="1"/>
          <c:order val="1"/>
          <c:tx>
            <c:strRef>
              <c:f>'Mars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'Mars 2022'!$C$56:$C$62</c:f>
              <c:numCache>
                <c:formatCode>General</c:formatCode>
                <c:ptCount val="7"/>
              </c:numCache>
            </c:numRef>
          </c:cat>
          <c:val>
            <c:numRef>
              <c:f>'Mars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937-47EC-BAFA-980564FE9345}"/>
            </c:ext>
          </c:extLst>
        </c:ser>
        <c:ser>
          <c:idx val="2"/>
          <c:order val="2"/>
          <c:tx>
            <c:strRef>
              <c:f>'Mars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'Mars 2022'!$C$56:$C$62</c:f>
              <c:numCache>
                <c:formatCode>General</c:formatCode>
                <c:ptCount val="7"/>
              </c:numCache>
            </c:numRef>
          </c:cat>
          <c:val>
            <c:numRef>
              <c:f>'Mars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937-47EC-BAFA-980564FE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1536"/>
        <c:axId val="187136632"/>
      </c:radarChart>
      <c:catAx>
        <c:axId val="1871315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6632"/>
        <c:crosses val="autoZero"/>
        <c:auto val="1"/>
        <c:lblAlgn val="ctr"/>
        <c:lblOffset val="100"/>
        <c:noMultiLvlLbl val="0"/>
      </c:catAx>
      <c:valAx>
        <c:axId val="1871366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'Avril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'Avril 2022'!$C$56:$C$62</c:f>
              <c:numCache>
                <c:formatCode>General</c:formatCode>
                <c:ptCount val="7"/>
              </c:numCache>
            </c:numRef>
          </c:cat>
          <c:val>
            <c:numRef>
              <c:f>'Avril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13A-4ABE-92A1-CC18D9BB4E7E}"/>
            </c:ext>
          </c:extLst>
        </c:ser>
        <c:ser>
          <c:idx val="1"/>
          <c:order val="1"/>
          <c:tx>
            <c:strRef>
              <c:f>'Avril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'Avril 2022'!$C$56:$C$62</c:f>
              <c:numCache>
                <c:formatCode>General</c:formatCode>
                <c:ptCount val="7"/>
              </c:numCache>
            </c:numRef>
          </c:cat>
          <c:val>
            <c:numRef>
              <c:f>'Avril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13A-4ABE-92A1-CC18D9BB4E7E}"/>
            </c:ext>
          </c:extLst>
        </c:ser>
        <c:ser>
          <c:idx val="2"/>
          <c:order val="2"/>
          <c:tx>
            <c:strRef>
              <c:f>'Avril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'Avril 2022'!$C$56:$C$62</c:f>
              <c:numCache>
                <c:formatCode>General</c:formatCode>
                <c:ptCount val="7"/>
              </c:numCache>
            </c:numRef>
          </c:cat>
          <c:val>
            <c:numRef>
              <c:f>'Avril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13A-4ABE-92A1-CC18D9BB4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2712"/>
        <c:axId val="187137416"/>
      </c:radarChart>
      <c:catAx>
        <c:axId val="1871327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7416"/>
        <c:crosses val="autoZero"/>
        <c:auto val="1"/>
        <c:lblAlgn val="ctr"/>
        <c:lblOffset val="100"/>
        <c:noMultiLvlLbl val="0"/>
      </c:catAx>
      <c:valAx>
        <c:axId val="187137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'Mai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 2022'!$C$56:$C$62</c:f>
              <c:numCache>
                <c:formatCode>General</c:formatCode>
                <c:ptCount val="7"/>
              </c:numCache>
            </c:numRef>
          </c:cat>
          <c:val>
            <c:numRef>
              <c:f>'Mai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96B-409F-AEE9-3981757B9E8F}"/>
            </c:ext>
          </c:extLst>
        </c:ser>
        <c:ser>
          <c:idx val="1"/>
          <c:order val="1"/>
          <c:tx>
            <c:strRef>
              <c:f>'Mai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 2022'!$C$56:$C$62</c:f>
              <c:numCache>
                <c:formatCode>General</c:formatCode>
                <c:ptCount val="7"/>
              </c:numCache>
            </c:numRef>
          </c:cat>
          <c:val>
            <c:numRef>
              <c:f>'Mai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96B-409F-AEE9-3981757B9E8F}"/>
            </c:ext>
          </c:extLst>
        </c:ser>
        <c:ser>
          <c:idx val="2"/>
          <c:order val="2"/>
          <c:tx>
            <c:strRef>
              <c:f>'Mai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'Mai 2022'!$C$56:$C$62</c:f>
              <c:numCache>
                <c:formatCode>General</c:formatCode>
                <c:ptCount val="7"/>
              </c:numCache>
            </c:numRef>
          </c:cat>
          <c:val>
            <c:numRef>
              <c:f>'Mai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296B-409F-AEE9-3981757B9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3888"/>
        <c:axId val="187137024"/>
      </c:radarChart>
      <c:catAx>
        <c:axId val="1871338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7024"/>
        <c:crosses val="autoZero"/>
        <c:auto val="1"/>
        <c:lblAlgn val="ctr"/>
        <c:lblOffset val="100"/>
        <c:noMultiLvlLbl val="0"/>
      </c:catAx>
      <c:valAx>
        <c:axId val="187137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'Juin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'Juin 2022'!$C$56:$C$62</c:f>
              <c:numCache>
                <c:formatCode>General</c:formatCode>
                <c:ptCount val="7"/>
              </c:numCache>
            </c:numRef>
          </c:cat>
          <c:val>
            <c:numRef>
              <c:f>'Juin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A378-4C2C-BDFF-7769021FB489}"/>
            </c:ext>
          </c:extLst>
        </c:ser>
        <c:ser>
          <c:idx val="1"/>
          <c:order val="1"/>
          <c:tx>
            <c:strRef>
              <c:f>'Juin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'Juin 2022'!$C$56:$C$62</c:f>
              <c:numCache>
                <c:formatCode>General</c:formatCode>
                <c:ptCount val="7"/>
              </c:numCache>
            </c:numRef>
          </c:cat>
          <c:val>
            <c:numRef>
              <c:f>'Juin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A378-4C2C-BDFF-7769021FB489}"/>
            </c:ext>
          </c:extLst>
        </c:ser>
        <c:ser>
          <c:idx val="2"/>
          <c:order val="2"/>
          <c:tx>
            <c:strRef>
              <c:f>'Juin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'Juin 2022'!$C$56:$C$62</c:f>
              <c:numCache>
                <c:formatCode>General</c:formatCode>
                <c:ptCount val="7"/>
              </c:numCache>
            </c:numRef>
          </c:cat>
          <c:val>
            <c:numRef>
              <c:f>'Juin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A378-4C2C-BDFF-7769021F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54920"/>
        <c:axId val="127553352"/>
      </c:radarChart>
      <c:catAx>
        <c:axId val="1275549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553352"/>
        <c:crosses val="autoZero"/>
        <c:auto val="1"/>
        <c:lblAlgn val="ctr"/>
        <c:lblOffset val="100"/>
        <c:noMultiLvlLbl val="0"/>
      </c:catAx>
      <c:valAx>
        <c:axId val="127553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55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'Juillet 2022 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'Juillet 2022 '!$C$56:$C$62</c:f>
              <c:numCache>
                <c:formatCode>General</c:formatCode>
                <c:ptCount val="7"/>
              </c:numCache>
            </c:numRef>
          </c:cat>
          <c:val>
            <c:numRef>
              <c:f>'Juillet 2022 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1AF3-4CC3-910E-E3AEEE78FE51}"/>
            </c:ext>
          </c:extLst>
        </c:ser>
        <c:ser>
          <c:idx val="1"/>
          <c:order val="1"/>
          <c:tx>
            <c:strRef>
              <c:f>'Juillet 2022 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'Juillet 2022 '!$C$56:$C$62</c:f>
              <c:numCache>
                <c:formatCode>General</c:formatCode>
                <c:ptCount val="7"/>
              </c:numCache>
            </c:numRef>
          </c:cat>
          <c:val>
            <c:numRef>
              <c:f>'Juillet 2022 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1AF3-4CC3-910E-E3AEEE78FE51}"/>
            </c:ext>
          </c:extLst>
        </c:ser>
        <c:ser>
          <c:idx val="2"/>
          <c:order val="2"/>
          <c:tx>
            <c:strRef>
              <c:f>'Juillet 2022 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'Juillet 2022 '!$C$56:$C$62</c:f>
              <c:numCache>
                <c:formatCode>General</c:formatCode>
                <c:ptCount val="7"/>
              </c:numCache>
            </c:numRef>
          </c:cat>
          <c:val>
            <c:numRef>
              <c:f>'Juillet 2022 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1AF3-4CC3-910E-E3AEEE78F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61928"/>
        <c:axId val="88160360"/>
      </c:radarChart>
      <c:catAx>
        <c:axId val="881619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160360"/>
        <c:crosses val="autoZero"/>
        <c:auto val="1"/>
        <c:lblAlgn val="ctr"/>
        <c:lblOffset val="100"/>
        <c:noMultiLvlLbl val="0"/>
      </c:catAx>
      <c:valAx>
        <c:axId val="88160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816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'Août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'Août 2022'!$C$56:$C$62</c:f>
              <c:strCache>
                <c:ptCount val="7"/>
                <c:pt idx="0">
                  <c:v>Att</c:v>
                </c:pt>
                <c:pt idx="1">
                  <c:v>Def</c:v>
                </c:pt>
                <c:pt idx="2">
                  <c:v>Vit</c:v>
                </c:pt>
                <c:pt idx="3">
                  <c:v>Int</c:v>
                </c:pt>
                <c:pt idx="4">
                  <c:v>Dex</c:v>
                </c:pt>
                <c:pt idx="5">
                  <c:v>Str</c:v>
                </c:pt>
                <c:pt idx="6">
                  <c:v>MP</c:v>
                </c:pt>
              </c:strCache>
            </c:strRef>
          </c:cat>
          <c:val>
            <c:numRef>
              <c:f>'Août 2022'!$D$56:$D$62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2-4D21-A271-E0290BEC533D}"/>
            </c:ext>
          </c:extLst>
        </c:ser>
        <c:ser>
          <c:idx val="1"/>
          <c:order val="1"/>
          <c:tx>
            <c:strRef>
              <c:f>'Août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'Août 2022'!$C$56:$C$62</c:f>
              <c:strCache>
                <c:ptCount val="7"/>
                <c:pt idx="0">
                  <c:v>Att</c:v>
                </c:pt>
                <c:pt idx="1">
                  <c:v>Def</c:v>
                </c:pt>
                <c:pt idx="2">
                  <c:v>Vit</c:v>
                </c:pt>
                <c:pt idx="3">
                  <c:v>Int</c:v>
                </c:pt>
                <c:pt idx="4">
                  <c:v>Dex</c:v>
                </c:pt>
                <c:pt idx="5">
                  <c:v>Str</c:v>
                </c:pt>
                <c:pt idx="6">
                  <c:v>MP</c:v>
                </c:pt>
              </c:strCache>
            </c:strRef>
          </c:cat>
          <c:val>
            <c:numRef>
              <c:f>'Août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6542-4D21-A271-E0290BEC533D}"/>
            </c:ext>
          </c:extLst>
        </c:ser>
        <c:ser>
          <c:idx val="2"/>
          <c:order val="2"/>
          <c:tx>
            <c:strRef>
              <c:f>'Août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'Août 2022'!$C$56:$C$62</c:f>
              <c:strCache>
                <c:ptCount val="7"/>
                <c:pt idx="0">
                  <c:v>Att</c:v>
                </c:pt>
                <c:pt idx="1">
                  <c:v>Def</c:v>
                </c:pt>
                <c:pt idx="2">
                  <c:v>Vit</c:v>
                </c:pt>
                <c:pt idx="3">
                  <c:v>Int</c:v>
                </c:pt>
                <c:pt idx="4">
                  <c:v>Dex</c:v>
                </c:pt>
                <c:pt idx="5">
                  <c:v>Str</c:v>
                </c:pt>
                <c:pt idx="6">
                  <c:v>MP</c:v>
                </c:pt>
              </c:strCache>
            </c:strRef>
          </c:cat>
          <c:val>
            <c:numRef>
              <c:f>'Août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6542-4D21-A271-E0290BEC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64848"/>
        <c:axId val="187138592"/>
      </c:radarChart>
      <c:catAx>
        <c:axId val="18936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38592"/>
        <c:crosses val="autoZero"/>
        <c:auto val="1"/>
        <c:lblAlgn val="ctr"/>
        <c:lblOffset val="100"/>
        <c:noMultiLvlLbl val="0"/>
      </c:catAx>
      <c:valAx>
        <c:axId val="187138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36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'Septembre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'Septembre 2022'!$C$56:$C$62</c:f>
              <c:numCache>
                <c:formatCode>General</c:formatCode>
                <c:ptCount val="7"/>
              </c:numCache>
            </c:numRef>
          </c:cat>
          <c:val>
            <c:numRef>
              <c:f>'Septembre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011-47D3-9501-F6FE3A35BCA4}"/>
            </c:ext>
          </c:extLst>
        </c:ser>
        <c:ser>
          <c:idx val="1"/>
          <c:order val="1"/>
          <c:tx>
            <c:strRef>
              <c:f>'Septembre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'Septembre 2022'!$C$56:$C$62</c:f>
              <c:numCache>
                <c:formatCode>General</c:formatCode>
                <c:ptCount val="7"/>
              </c:numCache>
            </c:numRef>
          </c:cat>
          <c:val>
            <c:numRef>
              <c:f>'Septembre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011-47D3-9501-F6FE3A35BCA4}"/>
            </c:ext>
          </c:extLst>
        </c:ser>
        <c:ser>
          <c:idx val="2"/>
          <c:order val="2"/>
          <c:tx>
            <c:strRef>
              <c:f>'Septembre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'Septembre 2022'!$C$56:$C$62</c:f>
              <c:numCache>
                <c:formatCode>General</c:formatCode>
                <c:ptCount val="7"/>
              </c:numCache>
            </c:numRef>
          </c:cat>
          <c:val>
            <c:numRef>
              <c:f>'Septembre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011-47D3-9501-F6FE3A35B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33496"/>
        <c:axId val="86791432"/>
      </c:radarChart>
      <c:catAx>
        <c:axId val="18713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791432"/>
        <c:crosses val="autoZero"/>
        <c:auto val="1"/>
        <c:lblAlgn val="ctr"/>
        <c:lblOffset val="100"/>
        <c:noMultiLvlLbl val="0"/>
      </c:catAx>
      <c:valAx>
        <c:axId val="86791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13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'Octobre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'Octobre 2022'!$C$56:$C$62</c:f>
              <c:numCache>
                <c:formatCode>General</c:formatCode>
                <c:ptCount val="7"/>
              </c:numCache>
            </c:numRef>
          </c:cat>
          <c:val>
            <c:numRef>
              <c:f>'Octobre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42A-4086-BEA7-5751132F5233}"/>
            </c:ext>
          </c:extLst>
        </c:ser>
        <c:ser>
          <c:idx val="1"/>
          <c:order val="1"/>
          <c:tx>
            <c:strRef>
              <c:f>'Octobre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'Octobre 2022'!$C$56:$C$62</c:f>
              <c:numCache>
                <c:formatCode>General</c:formatCode>
                <c:ptCount val="7"/>
              </c:numCache>
            </c:numRef>
          </c:cat>
          <c:val>
            <c:numRef>
              <c:f>'Octobre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42A-4086-BEA7-5751132F5233}"/>
            </c:ext>
          </c:extLst>
        </c:ser>
        <c:ser>
          <c:idx val="2"/>
          <c:order val="2"/>
          <c:tx>
            <c:strRef>
              <c:f>'Octobre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'Octobre 2022'!$C$56:$C$62</c:f>
              <c:numCache>
                <c:formatCode>General</c:formatCode>
                <c:ptCount val="7"/>
              </c:numCache>
            </c:numRef>
          </c:cat>
          <c:val>
            <c:numRef>
              <c:f>'Octobre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42A-4086-BEA7-5751132F5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7144"/>
        <c:axId val="223355576"/>
      </c:radarChart>
      <c:catAx>
        <c:axId val="22335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355576"/>
        <c:crosses val="autoZero"/>
        <c:auto val="1"/>
        <c:lblAlgn val="ctr"/>
        <c:lblOffset val="100"/>
        <c:noMultiLvlLbl val="0"/>
      </c:catAx>
      <c:valAx>
        <c:axId val="223355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35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'Novembre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'Novembre 2022'!$C$56:$C$62</c:f>
              <c:numCache>
                <c:formatCode>General</c:formatCode>
                <c:ptCount val="7"/>
              </c:numCache>
            </c:numRef>
          </c:cat>
          <c:val>
            <c:numRef>
              <c:f>'Novembre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3A62-41F4-93FD-0D44686D0C60}"/>
            </c:ext>
          </c:extLst>
        </c:ser>
        <c:ser>
          <c:idx val="1"/>
          <c:order val="1"/>
          <c:tx>
            <c:strRef>
              <c:f>'Novembre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'Novembre 2022'!$C$56:$C$62</c:f>
              <c:numCache>
                <c:formatCode>General</c:formatCode>
                <c:ptCount val="7"/>
              </c:numCache>
            </c:numRef>
          </c:cat>
          <c:val>
            <c:numRef>
              <c:f>'Novembre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3A62-41F4-93FD-0D44686D0C60}"/>
            </c:ext>
          </c:extLst>
        </c:ser>
        <c:ser>
          <c:idx val="2"/>
          <c:order val="2"/>
          <c:tx>
            <c:strRef>
              <c:f>'Novembre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'Novembre 2022'!$C$56:$C$62</c:f>
              <c:numCache>
                <c:formatCode>General</c:formatCode>
                <c:ptCount val="7"/>
              </c:numCache>
            </c:numRef>
          </c:cat>
          <c:val>
            <c:numRef>
              <c:f>'Novembre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3A62-41F4-93FD-0D44686D0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6752"/>
        <c:axId val="223354008"/>
      </c:radarChart>
      <c:catAx>
        <c:axId val="2233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354008"/>
        <c:crosses val="autoZero"/>
        <c:auto val="1"/>
        <c:lblAlgn val="ctr"/>
        <c:lblOffset val="100"/>
        <c:noMultiLvlLbl val="0"/>
      </c:catAx>
      <c:valAx>
        <c:axId val="223354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35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'Decembre 2022'!$D$55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'Decembre 2022'!$C$56:$C$62</c:f>
              <c:numCache>
                <c:formatCode>General</c:formatCode>
                <c:ptCount val="7"/>
              </c:numCache>
            </c:numRef>
          </c:cat>
          <c:val>
            <c:numRef>
              <c:f>'Decembre 2022'!$D$56:$D$62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CEB-4716-BDCA-2E03BCF255E3}"/>
            </c:ext>
          </c:extLst>
        </c:ser>
        <c:ser>
          <c:idx val="1"/>
          <c:order val="1"/>
          <c:tx>
            <c:strRef>
              <c:f>'Decembre 2022'!$E$55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'Decembre 2022'!$C$56:$C$62</c:f>
              <c:numCache>
                <c:formatCode>General</c:formatCode>
                <c:ptCount val="7"/>
              </c:numCache>
            </c:numRef>
          </c:cat>
          <c:val>
            <c:numRef>
              <c:f>'Decembre 2022'!$E$56:$E$62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CEB-4716-BDCA-2E03BCF255E3}"/>
            </c:ext>
          </c:extLst>
        </c:ser>
        <c:ser>
          <c:idx val="2"/>
          <c:order val="2"/>
          <c:tx>
            <c:strRef>
              <c:f>'Decembre 2022'!$F$55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'Decembre 2022'!$C$56:$C$62</c:f>
              <c:numCache>
                <c:formatCode>General</c:formatCode>
                <c:ptCount val="7"/>
              </c:numCache>
            </c:numRef>
          </c:cat>
          <c:val>
            <c:numRef>
              <c:f>'Decembre 2022'!$F$56:$F$62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CEB-4716-BDCA-2E03BCF2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6752"/>
        <c:axId val="223354008"/>
      </c:radarChart>
      <c:catAx>
        <c:axId val="2233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354008"/>
        <c:crosses val="autoZero"/>
        <c:auto val="1"/>
        <c:lblAlgn val="ctr"/>
        <c:lblOffset val="100"/>
        <c:noMultiLvlLbl val="0"/>
      </c:catAx>
      <c:valAx>
        <c:axId val="223354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35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'Janvier 2023'!$D$55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'Janvier 2023'!$C$56:$C$62</c:f>
              <c:numCache>
                <c:formatCode>General</c:formatCode>
                <c:ptCount val="7"/>
              </c:numCache>
            </c:numRef>
          </c:cat>
          <c:val>
            <c:numRef>
              <c:f>'Janvier 2023'!$D$56:$D$62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4289-4798-9E09-07B014B6E53B}"/>
            </c:ext>
          </c:extLst>
        </c:ser>
        <c:ser>
          <c:idx val="1"/>
          <c:order val="1"/>
          <c:tx>
            <c:strRef>
              <c:f>'Janvier 2023'!$E$55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'Janvier 2023'!$C$56:$C$62</c:f>
              <c:numCache>
                <c:formatCode>General</c:formatCode>
                <c:ptCount val="7"/>
              </c:numCache>
            </c:numRef>
          </c:cat>
          <c:val>
            <c:numRef>
              <c:f>'Janvier 2023'!$E$56:$E$62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4289-4798-9E09-07B014B6E53B}"/>
            </c:ext>
          </c:extLst>
        </c:ser>
        <c:ser>
          <c:idx val="2"/>
          <c:order val="2"/>
          <c:tx>
            <c:strRef>
              <c:f>'Janvier 2023'!$F$55</c:f>
              <c:strCache>
                <c:ptCount val="1"/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'Janvier 2023'!$C$56:$C$62</c:f>
              <c:numCache>
                <c:formatCode>General</c:formatCode>
                <c:ptCount val="7"/>
              </c:numCache>
            </c:numRef>
          </c:cat>
          <c:val>
            <c:numRef>
              <c:f>'Janvier 2023'!$F$56:$F$62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4289-4798-9E09-07B014B6E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6752"/>
        <c:axId val="223354008"/>
      </c:radarChart>
      <c:catAx>
        <c:axId val="2233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354008"/>
        <c:crosses val="autoZero"/>
        <c:auto val="1"/>
        <c:lblAlgn val="ctr"/>
        <c:lblOffset val="100"/>
        <c:noMultiLvlLbl val="0"/>
      </c:catAx>
      <c:valAx>
        <c:axId val="223354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35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CFPC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contôle!$D$55</c:f>
              <c:strCache>
                <c:ptCount val="1"/>
                <c:pt idx="0">
                  <c:v> 1er sem.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contôle!$C$56:$C$62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contôle!$D$56:$D$62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FC73-4AAE-9B6B-4EC35D39AFC0}"/>
            </c:ext>
          </c:extLst>
        </c:ser>
        <c:ser>
          <c:idx val="1"/>
          <c:order val="1"/>
          <c:tx>
            <c:strRef>
              <c:f>contôle!$E$55</c:f>
              <c:strCache>
                <c:ptCount val="1"/>
                <c:pt idx="0">
                  <c:v>2ème sem.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contôle!$C$56:$C$62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contôle!$E$56:$E$62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FC73-4AAE-9B6B-4EC35D39AFC0}"/>
            </c:ext>
          </c:extLst>
        </c:ser>
        <c:ser>
          <c:idx val="2"/>
          <c:order val="2"/>
          <c:tx>
            <c:strRef>
              <c:f>contôle!$F$55</c:f>
              <c:strCache>
                <c:ptCount val="1"/>
                <c:pt idx="0">
                  <c:v>Tot.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contôle!$C$56:$C$62</c:f>
              <c:strCache>
                <c:ptCount val="7"/>
                <c:pt idx="0">
                  <c:v>SCI</c:v>
                </c:pt>
                <c:pt idx="1">
                  <c:v>SCHE</c:v>
                </c:pt>
                <c:pt idx="2">
                  <c:v>CG</c:v>
                </c:pt>
                <c:pt idx="3">
                  <c:v>COM</c:v>
                </c:pt>
                <c:pt idx="4">
                  <c:v>ELEC</c:v>
                </c:pt>
                <c:pt idx="5">
                  <c:v>TELE</c:v>
                </c:pt>
                <c:pt idx="6">
                  <c:v>NIBT</c:v>
                </c:pt>
              </c:strCache>
            </c:strRef>
          </c:cat>
          <c:val>
            <c:numRef>
              <c:f>contôle!$F$56:$F$62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3-4AAE-9B6B-4EC35D39A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1264"/>
        <c:axId val="223351656"/>
      </c:radarChart>
      <c:catAx>
        <c:axId val="22335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3351656"/>
        <c:crosses val="autoZero"/>
        <c:auto val="1"/>
        <c:lblAlgn val="ctr"/>
        <c:lblOffset val="100"/>
        <c:noMultiLvlLbl val="0"/>
      </c:catAx>
      <c:valAx>
        <c:axId val="223351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35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fmlaLink="$AT$8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fmlaLink="$AT$8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fmlaLink="$AT$8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fmlaLink="$AT$8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fmlaLink="$AT$8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fmlaLink="$AT$8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1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1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1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1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8197" name="Case à cocher 7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17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17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17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17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17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17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17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17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17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3" name="Groupe 2">
              <a:extLst>
                <a:ext uri="{FF2B5EF4-FFF2-40B4-BE49-F238E27FC236}">
                  <a16:creationId xmlns:a16="http://schemas.microsoft.com/office/drawing/2014/main" id="{00000000-0008-0000-1700-000003000000}"/>
                </a:ext>
              </a:extLst>
            </xdr:cNvPr>
            <xdr:cNvGrpSpPr/>
          </xdr:nvGrpSpPr>
          <xdr:grpSpPr>
            <a:xfrm>
              <a:off x="18191259" y="1498490"/>
              <a:ext cx="1698266" cy="190500"/>
              <a:chOff x="18191259" y="1498490"/>
              <a:chExt cx="1698266" cy="190500"/>
            </a:xfrm>
          </xdr:grpSpPr>
          <xdr:sp macro="" textlink="">
            <xdr:nvSpPr>
              <xdr:cNvPr id="8211" name="Check Box 19" hidden="1">
                <a:extLst>
                  <a:ext uri="{63B3BB69-23CF-44E3-9099-C40C66FF867C}">
                    <a14:compatExt spid="_x0000_s8211"/>
                  </a:ext>
                  <a:ext uri="{FF2B5EF4-FFF2-40B4-BE49-F238E27FC236}">
                    <a16:creationId xmlns:a16="http://schemas.microsoft.com/office/drawing/2014/main" id="{00000000-0008-0000-1700-000013200000}"/>
                  </a:ext>
                </a:extLst>
              </xdr:cNvPr>
              <xdr:cNvSpPr/>
            </xdr:nvSpPr>
            <xdr:spPr bwMode="auto">
              <a:xfrm>
                <a:off x="18191259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8212" name="Check Box 20" hidden="1">
                <a:extLst>
                  <a:ext uri="{63B3BB69-23CF-44E3-9099-C40C66FF867C}">
                    <a14:compatExt spid="_x0000_s8212"/>
                  </a:ext>
                  <a:ext uri="{FF2B5EF4-FFF2-40B4-BE49-F238E27FC236}">
                    <a16:creationId xmlns:a16="http://schemas.microsoft.com/office/drawing/2014/main" id="{00000000-0008-0000-1700-000014200000}"/>
                  </a:ext>
                </a:extLst>
              </xdr:cNvPr>
              <xdr:cNvSpPr/>
            </xdr:nvSpPr>
            <xdr:spPr bwMode="auto">
              <a:xfrm>
                <a:off x="19032772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8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18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18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10245" name="Case à cocher 7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18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8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8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18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18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18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18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18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18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16" name="Groupe 15">
              <a:extLst>
                <a:ext uri="{FF2B5EF4-FFF2-40B4-BE49-F238E27FC236}">
                  <a16:creationId xmlns:a16="http://schemas.microsoft.com/office/drawing/2014/main" id="{00000000-0008-0000-1800-000010000000}"/>
                </a:ext>
              </a:extLst>
            </xdr:cNvPr>
            <xdr:cNvGrpSpPr/>
          </xdr:nvGrpSpPr>
          <xdr:grpSpPr>
            <a:xfrm>
              <a:off x="18208487" y="1500809"/>
              <a:ext cx="1691640" cy="190831"/>
              <a:chOff x="18191118" y="1498490"/>
              <a:chExt cx="1698245" cy="190500"/>
            </a:xfrm>
          </xdr:grpSpPr>
          <xdr:sp macro="" textlink="">
            <xdr:nvSpPr>
              <xdr:cNvPr id="10254" name="Check Box 14" hidden="1">
                <a:extLst>
                  <a:ext uri="{63B3BB69-23CF-44E3-9099-C40C66FF867C}">
                    <a14:compatExt spid="_x0000_s10254"/>
                  </a:ext>
                  <a:ext uri="{FF2B5EF4-FFF2-40B4-BE49-F238E27FC236}">
                    <a16:creationId xmlns:a16="http://schemas.microsoft.com/office/drawing/2014/main" id="{00000000-0008-0000-1800-00000E280000}"/>
                  </a:ext>
                </a:extLst>
              </xdr:cNvPr>
              <xdr:cNvSpPr/>
            </xdr:nvSpPr>
            <xdr:spPr bwMode="auto">
              <a:xfrm>
                <a:off x="18191118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10255" name="Check Box 15" hidden="1">
                <a:extLst>
                  <a:ext uri="{63B3BB69-23CF-44E3-9099-C40C66FF867C}">
                    <a14:compatExt spid="_x0000_s10255"/>
                  </a:ext>
                  <a:ext uri="{FF2B5EF4-FFF2-40B4-BE49-F238E27FC236}">
                    <a16:creationId xmlns:a16="http://schemas.microsoft.com/office/drawing/2014/main" id="{00000000-0008-0000-1800-00000F280000}"/>
                  </a:ext>
                </a:extLst>
              </xdr:cNvPr>
              <xdr:cNvSpPr/>
            </xdr:nvSpPr>
            <xdr:spPr bwMode="auto">
              <a:xfrm>
                <a:off x="19032610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9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19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19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19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12293" name="Case à cocher 7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19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19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19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19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19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19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19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19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19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16" name="Groupe 15">
              <a:extLst>
                <a:ext uri="{FF2B5EF4-FFF2-40B4-BE49-F238E27FC236}">
                  <a16:creationId xmlns:a16="http://schemas.microsoft.com/office/drawing/2014/main" id="{00000000-0008-0000-1900-000010000000}"/>
                </a:ext>
              </a:extLst>
            </xdr:cNvPr>
            <xdr:cNvGrpSpPr/>
          </xdr:nvGrpSpPr>
          <xdr:grpSpPr>
            <a:xfrm>
              <a:off x="18191259" y="1498490"/>
              <a:ext cx="1698266" cy="190500"/>
              <a:chOff x="18191259" y="1498490"/>
              <a:chExt cx="1698266" cy="190500"/>
            </a:xfrm>
          </xdr:grpSpPr>
          <xdr:sp macro="" textlink="">
            <xdr:nvSpPr>
              <xdr:cNvPr id="12302" name="Check Box 14" hidden="1">
                <a:extLst>
                  <a:ext uri="{63B3BB69-23CF-44E3-9099-C40C66FF867C}">
                    <a14:compatExt spid="_x0000_s12302"/>
                  </a:ext>
                  <a:ext uri="{FF2B5EF4-FFF2-40B4-BE49-F238E27FC236}">
                    <a16:creationId xmlns:a16="http://schemas.microsoft.com/office/drawing/2014/main" id="{00000000-0008-0000-1900-00000E300000}"/>
                  </a:ext>
                </a:extLst>
              </xdr:cNvPr>
              <xdr:cNvSpPr/>
            </xdr:nvSpPr>
            <xdr:spPr bwMode="auto">
              <a:xfrm>
                <a:off x="18191259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12303" name="Check Box 15" hidden="1">
                <a:extLst>
                  <a:ext uri="{63B3BB69-23CF-44E3-9099-C40C66FF867C}">
                    <a14:compatExt spid="_x0000_s12303"/>
                  </a:ext>
                  <a:ext uri="{FF2B5EF4-FFF2-40B4-BE49-F238E27FC236}">
                    <a16:creationId xmlns:a16="http://schemas.microsoft.com/office/drawing/2014/main" id="{00000000-0008-0000-1900-00000F300000}"/>
                  </a:ext>
                </a:extLst>
              </xdr:cNvPr>
              <xdr:cNvSpPr/>
            </xdr:nvSpPr>
            <xdr:spPr bwMode="auto">
              <a:xfrm>
                <a:off x="19032772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A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1A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1A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1A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14341" name="Case à cocher 7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1A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1A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1A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1A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1A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1A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1A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1A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1A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16" name="Groupe 15">
              <a:extLst>
                <a:ext uri="{FF2B5EF4-FFF2-40B4-BE49-F238E27FC236}">
                  <a16:creationId xmlns:a16="http://schemas.microsoft.com/office/drawing/2014/main" id="{00000000-0008-0000-1A00-000010000000}"/>
                </a:ext>
              </a:extLst>
            </xdr:cNvPr>
            <xdr:cNvGrpSpPr/>
          </xdr:nvGrpSpPr>
          <xdr:grpSpPr>
            <a:xfrm>
              <a:off x="18191259" y="1498490"/>
              <a:ext cx="1698266" cy="190500"/>
              <a:chOff x="18191259" y="1498490"/>
              <a:chExt cx="1698266" cy="190500"/>
            </a:xfrm>
          </xdr:grpSpPr>
          <xdr:sp macro="" textlink="">
            <xdr:nvSpPr>
              <xdr:cNvPr id="14350" name="Check Box 14" hidden="1">
                <a:extLst>
                  <a:ext uri="{63B3BB69-23CF-44E3-9099-C40C66FF867C}">
                    <a14:compatExt spid="_x0000_s14350"/>
                  </a:ext>
                  <a:ext uri="{FF2B5EF4-FFF2-40B4-BE49-F238E27FC236}">
                    <a16:creationId xmlns:a16="http://schemas.microsoft.com/office/drawing/2014/main" id="{00000000-0008-0000-1A00-00000E380000}"/>
                  </a:ext>
                </a:extLst>
              </xdr:cNvPr>
              <xdr:cNvSpPr/>
            </xdr:nvSpPr>
            <xdr:spPr bwMode="auto">
              <a:xfrm>
                <a:off x="18191259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14351" name="Check Box 15" hidden="1">
                <a:extLst>
                  <a:ext uri="{63B3BB69-23CF-44E3-9099-C40C66FF867C}">
                    <a14:compatExt spid="_x0000_s14351"/>
                  </a:ext>
                  <a:ext uri="{FF2B5EF4-FFF2-40B4-BE49-F238E27FC236}">
                    <a16:creationId xmlns:a16="http://schemas.microsoft.com/office/drawing/2014/main" id="{00000000-0008-0000-1A00-00000F380000}"/>
                  </a:ext>
                </a:extLst>
              </xdr:cNvPr>
              <xdr:cNvSpPr/>
            </xdr:nvSpPr>
            <xdr:spPr bwMode="auto">
              <a:xfrm>
                <a:off x="19032772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1B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1B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1B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1B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16389" name="Case à cocher 7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1B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1B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1B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1B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1B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1B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1B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1B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1B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3" name="Groupe 2">
              <a:extLst>
                <a:ext uri="{FF2B5EF4-FFF2-40B4-BE49-F238E27FC236}">
                  <a16:creationId xmlns:a16="http://schemas.microsoft.com/office/drawing/2014/main" id="{00000000-0008-0000-1B00-000003000000}"/>
                </a:ext>
              </a:extLst>
            </xdr:cNvPr>
            <xdr:cNvGrpSpPr/>
          </xdr:nvGrpSpPr>
          <xdr:grpSpPr>
            <a:xfrm>
              <a:off x="31874129" y="1498490"/>
              <a:ext cx="1698266" cy="190500"/>
              <a:chOff x="18191259" y="1498490"/>
              <a:chExt cx="1698266" cy="190500"/>
            </a:xfrm>
          </xdr:grpSpPr>
          <xdr:sp macro="" textlink="">
            <xdr:nvSpPr>
              <xdr:cNvPr id="16398" name="Check Box 14" hidden="1">
                <a:extLst>
                  <a:ext uri="{63B3BB69-23CF-44E3-9099-C40C66FF867C}">
                    <a14:compatExt spid="_x0000_s16398"/>
                  </a:ext>
                  <a:ext uri="{FF2B5EF4-FFF2-40B4-BE49-F238E27FC236}">
                    <a16:creationId xmlns:a16="http://schemas.microsoft.com/office/drawing/2014/main" id="{00000000-0008-0000-1B00-00000E400000}"/>
                  </a:ext>
                </a:extLst>
              </xdr:cNvPr>
              <xdr:cNvSpPr/>
            </xdr:nvSpPr>
            <xdr:spPr bwMode="auto">
              <a:xfrm>
                <a:off x="18191259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16399" name="Check Box 15" hidden="1">
                <a:extLst>
                  <a:ext uri="{63B3BB69-23CF-44E3-9099-C40C66FF867C}">
                    <a14:compatExt spid="_x0000_s16399"/>
                  </a:ext>
                  <a:ext uri="{FF2B5EF4-FFF2-40B4-BE49-F238E27FC236}">
                    <a16:creationId xmlns:a16="http://schemas.microsoft.com/office/drawing/2014/main" id="{00000000-0008-0000-1B00-00000F400000}"/>
                  </a:ext>
                </a:extLst>
              </xdr:cNvPr>
              <xdr:cNvSpPr/>
            </xdr:nvSpPr>
            <xdr:spPr bwMode="auto">
              <a:xfrm>
                <a:off x="19032772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102704</xdr:colOff>
      <xdr:row>53</xdr:row>
      <xdr:rowOff>162340</xdr:rowOff>
    </xdr:from>
    <xdr:to>
      <xdr:col>14</xdr:col>
      <xdr:colOff>573156</xdr:colOff>
      <xdr:row>69</xdr:row>
      <xdr:rowOff>149087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5A7A28-407B-4541-AED1-42166138F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3</xdr:row>
          <xdr:rowOff>60960</xdr:rowOff>
        </xdr:from>
        <xdr:to>
          <xdr:col>45</xdr:col>
          <xdr:colOff>815340</xdr:colOff>
          <xdr:row>4</xdr:row>
          <xdr:rowOff>45720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F2016B08-B777-4AEB-A3C5-D6421EE39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4</xdr:row>
          <xdr:rowOff>60960</xdr:rowOff>
        </xdr:from>
        <xdr:to>
          <xdr:col>45</xdr:col>
          <xdr:colOff>807720</xdr:colOff>
          <xdr:row>5</xdr:row>
          <xdr:rowOff>45720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4F8969DB-70CC-4D2E-8199-4406413CE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906780</xdr:colOff>
          <xdr:row>5</xdr:row>
          <xdr:rowOff>60960</xdr:rowOff>
        </xdr:from>
        <xdr:to>
          <xdr:col>45</xdr:col>
          <xdr:colOff>815340</xdr:colOff>
          <xdr:row>6</xdr:row>
          <xdr:rowOff>45720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24FB98F0-F672-451D-A696-CC42A1BA93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Mercredi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6</xdr:row>
          <xdr:rowOff>60960</xdr:rowOff>
        </xdr:from>
        <xdr:to>
          <xdr:col>45</xdr:col>
          <xdr:colOff>822960</xdr:colOff>
          <xdr:row>7</xdr:row>
          <xdr:rowOff>45720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E264DE75-067E-4FF5-B622-35C98EE6F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Jeudi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914400</xdr:colOff>
          <xdr:row>7</xdr:row>
          <xdr:rowOff>60960</xdr:rowOff>
        </xdr:from>
        <xdr:to>
          <xdr:col>45</xdr:col>
          <xdr:colOff>822960</xdr:colOff>
          <xdr:row>8</xdr:row>
          <xdr:rowOff>45720</xdr:rowOff>
        </xdr:to>
        <xdr:sp macro="" textlink="">
          <xdr:nvSpPr>
            <xdr:cNvPr id="18437" name="Case à cocher 7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B96CAC3A-6C2D-4839-97CC-DD5D192B5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9966" mc:Ignorable="a14" a14:legacySpreadsheetColorIndex="57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Vendredi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3</xdr:row>
          <xdr:rowOff>60960</xdr:rowOff>
        </xdr:from>
        <xdr:to>
          <xdr:col>46</xdr:col>
          <xdr:colOff>822960</xdr:colOff>
          <xdr:row>4</xdr:row>
          <xdr:rowOff>45720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A3723ED6-DB94-4247-AEC1-90FAFFFCE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3</xdr:row>
          <xdr:rowOff>60960</xdr:rowOff>
        </xdr:from>
        <xdr:to>
          <xdr:col>47</xdr:col>
          <xdr:colOff>822960</xdr:colOff>
          <xdr:row>4</xdr:row>
          <xdr:rowOff>45720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81101DF8-4908-41C1-A385-3F9E01F0B1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4</xdr:row>
          <xdr:rowOff>68580</xdr:rowOff>
        </xdr:from>
        <xdr:to>
          <xdr:col>46</xdr:col>
          <xdr:colOff>822960</xdr:colOff>
          <xdr:row>5</xdr:row>
          <xdr:rowOff>53340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C1893256-DAFB-41A2-BBDA-4035780AC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4</xdr:row>
          <xdr:rowOff>68580</xdr:rowOff>
        </xdr:from>
        <xdr:to>
          <xdr:col>47</xdr:col>
          <xdr:colOff>822960</xdr:colOff>
          <xdr:row>5</xdr:row>
          <xdr:rowOff>53340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B813F41-EF0A-41B9-911D-EDBA7392C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5</xdr:row>
          <xdr:rowOff>68580</xdr:rowOff>
        </xdr:from>
        <xdr:to>
          <xdr:col>46</xdr:col>
          <xdr:colOff>822960</xdr:colOff>
          <xdr:row>6</xdr:row>
          <xdr:rowOff>53340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ADE9EB40-C768-4A81-9006-1661B8667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5</xdr:row>
          <xdr:rowOff>68580</xdr:rowOff>
        </xdr:from>
        <xdr:to>
          <xdr:col>47</xdr:col>
          <xdr:colOff>822960</xdr:colOff>
          <xdr:row>6</xdr:row>
          <xdr:rowOff>53340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CE573A84-B93C-45D0-99B6-5FA5EA4EF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807720</xdr:colOff>
          <xdr:row>6</xdr:row>
          <xdr:rowOff>60960</xdr:rowOff>
        </xdr:from>
        <xdr:to>
          <xdr:col>46</xdr:col>
          <xdr:colOff>822960</xdr:colOff>
          <xdr:row>7</xdr:row>
          <xdr:rowOff>45720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ADE115-F991-4950-9636-698F7EEF1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807720</xdr:colOff>
          <xdr:row>6</xdr:row>
          <xdr:rowOff>60960</xdr:rowOff>
        </xdr:from>
        <xdr:to>
          <xdr:col>47</xdr:col>
          <xdr:colOff>822960</xdr:colOff>
          <xdr:row>7</xdr:row>
          <xdr:rowOff>45720</xdr:rowOff>
        </xdr:to>
        <xdr:sp macro="" textlink="">
          <xdr:nvSpPr>
            <xdr:cNvPr id="18445" name="Check Box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5A3163B5-A294-4CC0-A818-6B548EE62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Après-midi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804407</xdr:colOff>
          <xdr:row>7</xdr:row>
          <xdr:rowOff>60629</xdr:rowOff>
        </xdr:from>
        <xdr:to>
          <xdr:col>47</xdr:col>
          <xdr:colOff>819647</xdr:colOff>
          <xdr:row>8</xdr:row>
          <xdr:rowOff>45720</xdr:rowOff>
        </xdr:to>
        <xdr:grpSp>
          <xdr:nvGrpSpPr>
            <xdr:cNvPr id="3" name="Groupe 2">
              <a:extLst>
                <a:ext uri="{FF2B5EF4-FFF2-40B4-BE49-F238E27FC236}">
                  <a16:creationId xmlns:a16="http://schemas.microsoft.com/office/drawing/2014/main" id="{00681530-98B3-44D1-9138-99BD5C6E502A}"/>
                </a:ext>
              </a:extLst>
            </xdr:cNvPr>
            <xdr:cNvGrpSpPr/>
          </xdr:nvGrpSpPr>
          <xdr:grpSpPr>
            <a:xfrm>
              <a:off x="31874129" y="1498490"/>
              <a:ext cx="1698266" cy="190500"/>
              <a:chOff x="18191259" y="1498490"/>
              <a:chExt cx="1698266" cy="190500"/>
            </a:xfrm>
          </xdr:grpSpPr>
          <xdr:sp macro="" textlink="">
            <xdr:nvSpPr>
              <xdr:cNvPr id="18446" name="Check Box 14" hidden="1">
                <a:extLst>
                  <a:ext uri="{63B3BB69-23CF-44E3-9099-C40C66FF867C}">
                    <a14:compatExt spid="_x0000_s18446"/>
                  </a:ext>
                  <a:ext uri="{FF2B5EF4-FFF2-40B4-BE49-F238E27FC236}">
                    <a16:creationId xmlns:a16="http://schemas.microsoft.com/office/drawing/2014/main" id="{00000000-0008-0000-1B00-00000E400000}"/>
                  </a:ext>
                </a:extLst>
              </xdr:cNvPr>
              <xdr:cNvSpPr/>
            </xdr:nvSpPr>
            <xdr:spPr bwMode="auto">
              <a:xfrm>
                <a:off x="18191259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Matin</a:t>
                </a:r>
              </a:p>
            </xdr:txBody>
          </xdr:sp>
          <xdr:sp macro="" textlink="">
            <xdr:nvSpPr>
              <xdr:cNvPr id="18447" name="Check Box 15" hidden="1">
                <a:extLst>
                  <a:ext uri="{63B3BB69-23CF-44E3-9099-C40C66FF867C}">
                    <a14:compatExt spid="_x0000_s18447"/>
                  </a:ext>
                  <a:ext uri="{FF2B5EF4-FFF2-40B4-BE49-F238E27FC236}">
                    <a16:creationId xmlns:a16="http://schemas.microsoft.com/office/drawing/2014/main" id="{00000000-0008-0000-1B00-00000F400000}"/>
                  </a:ext>
                </a:extLst>
              </xdr:cNvPr>
              <xdr:cNvSpPr/>
            </xdr:nvSpPr>
            <xdr:spPr bwMode="auto">
              <a:xfrm>
                <a:off x="19032772" y="1498490"/>
                <a:ext cx="856753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CH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Après-midi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62948</xdr:colOff>
      <xdr:row>53</xdr:row>
      <xdr:rowOff>155713</xdr:rowOff>
    </xdr:from>
    <xdr:to>
      <xdr:col>14</xdr:col>
      <xdr:colOff>533400</xdr:colOff>
      <xdr:row>69</xdr:row>
      <xdr:rowOff>142460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égral">
  <a:themeElements>
    <a:clrScheme name="Inté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é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é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28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13" Type="http://schemas.openxmlformats.org/officeDocument/2006/relationships/ctrlProp" Target="../ctrlProps/ctrlProp40.xml"/><Relationship Id="rId18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4.xml"/><Relationship Id="rId12" Type="http://schemas.openxmlformats.org/officeDocument/2006/relationships/ctrlProp" Target="../ctrlProps/ctrlProp39.xml"/><Relationship Id="rId17" Type="http://schemas.openxmlformats.org/officeDocument/2006/relationships/ctrlProp" Target="../ctrlProps/ctrlProp44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43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33.xml"/><Relationship Id="rId11" Type="http://schemas.openxmlformats.org/officeDocument/2006/relationships/ctrlProp" Target="../ctrlProps/ctrlProp38.xml"/><Relationship Id="rId5" Type="http://schemas.openxmlformats.org/officeDocument/2006/relationships/ctrlProp" Target="../ctrlProps/ctrlProp32.xml"/><Relationship Id="rId15" Type="http://schemas.openxmlformats.org/officeDocument/2006/relationships/ctrlProp" Target="../ctrlProps/ctrlProp42.xml"/><Relationship Id="rId10" Type="http://schemas.openxmlformats.org/officeDocument/2006/relationships/ctrlProp" Target="../ctrlProps/ctrlProp37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Relationship Id="rId14" Type="http://schemas.openxmlformats.org/officeDocument/2006/relationships/ctrlProp" Target="../ctrlProps/ctrlProp41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58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10" Type="http://schemas.openxmlformats.org/officeDocument/2006/relationships/ctrlProp" Target="../ctrlProps/ctrlProp52.xml"/><Relationship Id="rId4" Type="http://schemas.openxmlformats.org/officeDocument/2006/relationships/ctrlProp" Target="../ctrlProps/ctrlProp46.x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13" Type="http://schemas.openxmlformats.org/officeDocument/2006/relationships/ctrlProp" Target="../ctrlProps/ctrlProp70.xml"/><Relationship Id="rId18" Type="http://schemas.openxmlformats.org/officeDocument/2006/relationships/ctrlProp" Target="../ctrlProps/ctrlProp7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64.xml"/><Relationship Id="rId12" Type="http://schemas.openxmlformats.org/officeDocument/2006/relationships/ctrlProp" Target="../ctrlProps/ctrlProp69.xml"/><Relationship Id="rId17" Type="http://schemas.openxmlformats.org/officeDocument/2006/relationships/ctrlProp" Target="../ctrlProps/ctrlProp74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73.xml"/><Relationship Id="rId1" Type="http://schemas.openxmlformats.org/officeDocument/2006/relationships/printerSettings" Target="../printerSettings/printerSettings28.bin"/><Relationship Id="rId6" Type="http://schemas.openxmlformats.org/officeDocument/2006/relationships/ctrlProp" Target="../ctrlProps/ctrlProp63.xml"/><Relationship Id="rId11" Type="http://schemas.openxmlformats.org/officeDocument/2006/relationships/ctrlProp" Target="../ctrlProps/ctrlProp68.xml"/><Relationship Id="rId5" Type="http://schemas.openxmlformats.org/officeDocument/2006/relationships/ctrlProp" Target="../ctrlProps/ctrlProp62.xml"/><Relationship Id="rId15" Type="http://schemas.openxmlformats.org/officeDocument/2006/relationships/ctrlProp" Target="../ctrlProps/ctrlProp72.xml"/><Relationship Id="rId10" Type="http://schemas.openxmlformats.org/officeDocument/2006/relationships/ctrlProp" Target="../ctrlProps/ctrlProp67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Relationship Id="rId14" Type="http://schemas.openxmlformats.org/officeDocument/2006/relationships/ctrlProp" Target="../ctrlProps/ctrlProp71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0.xml"/><Relationship Id="rId13" Type="http://schemas.openxmlformats.org/officeDocument/2006/relationships/ctrlProp" Target="../ctrlProps/ctrlProp85.xml"/><Relationship Id="rId18" Type="http://schemas.openxmlformats.org/officeDocument/2006/relationships/ctrlProp" Target="../ctrlProps/ctrlProp90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79.xml"/><Relationship Id="rId12" Type="http://schemas.openxmlformats.org/officeDocument/2006/relationships/ctrlProp" Target="../ctrlProps/ctrlProp84.xml"/><Relationship Id="rId17" Type="http://schemas.openxmlformats.org/officeDocument/2006/relationships/ctrlProp" Target="../ctrlProps/ctrlProp89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29.bin"/><Relationship Id="rId6" Type="http://schemas.openxmlformats.org/officeDocument/2006/relationships/ctrlProp" Target="../ctrlProps/ctrlProp78.xml"/><Relationship Id="rId11" Type="http://schemas.openxmlformats.org/officeDocument/2006/relationships/ctrlProp" Target="../ctrlProps/ctrlProp83.xml"/><Relationship Id="rId5" Type="http://schemas.openxmlformats.org/officeDocument/2006/relationships/ctrlProp" Target="../ctrlProps/ctrlProp77.xml"/><Relationship Id="rId15" Type="http://schemas.openxmlformats.org/officeDocument/2006/relationships/ctrlProp" Target="../ctrlProps/ctrlProp87.xml"/><Relationship Id="rId10" Type="http://schemas.openxmlformats.org/officeDocument/2006/relationships/ctrlProp" Target="../ctrlProps/ctrlProp82.xml"/><Relationship Id="rId4" Type="http://schemas.openxmlformats.org/officeDocument/2006/relationships/ctrlProp" Target="../ctrlProps/ctrlProp76.xml"/><Relationship Id="rId9" Type="http://schemas.openxmlformats.org/officeDocument/2006/relationships/ctrlProp" Target="../ctrlProps/ctrlProp81.xml"/><Relationship Id="rId14" Type="http://schemas.openxmlformats.org/officeDocument/2006/relationships/ctrlProp" Target="../ctrlProps/ctrlProp8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A6"/>
  <sheetViews>
    <sheetView topLeftCell="B1" workbookViewId="0">
      <selection activeCell="A7" sqref="A7"/>
    </sheetView>
  </sheetViews>
  <sheetFormatPr baseColWidth="10" defaultRowHeight="13.8" x14ac:dyDescent="0.25"/>
  <cols>
    <col min="1" max="1" width="29.8984375" customWidth="1"/>
  </cols>
  <sheetData>
    <row r="1" spans="1:1" x14ac:dyDescent="0.25">
      <c r="A1" t="s">
        <v>72</v>
      </c>
    </row>
    <row r="2" spans="1:1" x14ac:dyDescent="0.25">
      <c r="A2" t="s">
        <v>204</v>
      </c>
    </row>
    <row r="3" spans="1:1" x14ac:dyDescent="0.25">
      <c r="A3" t="s">
        <v>221</v>
      </c>
    </row>
    <row r="4" spans="1:1" x14ac:dyDescent="0.25">
      <c r="A4" t="s">
        <v>222</v>
      </c>
    </row>
    <row r="5" spans="1:1" x14ac:dyDescent="0.25">
      <c r="A5" t="s">
        <v>223</v>
      </c>
    </row>
    <row r="6" spans="1:1" x14ac:dyDescent="0.25">
      <c r="A6" t="s">
        <v>224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1">
    <tabColor theme="4" tint="0.79998168889431442"/>
  </sheetPr>
  <dimension ref="A1:AT67"/>
  <sheetViews>
    <sheetView showZeros="0" zoomScale="70" zoomScaleNormal="70" workbookViewId="0">
      <selection activeCell="C45" sqref="C45"/>
    </sheetView>
  </sheetViews>
  <sheetFormatPr baseColWidth="10" defaultRowHeight="13.8" x14ac:dyDescent="0.25"/>
  <cols>
    <col min="2" max="5" width="9.296875" customWidth="1"/>
    <col min="6" max="6" width="3.5" hidden="1" customWidth="1"/>
    <col min="7" max="8" width="9.296875" customWidth="1"/>
    <col min="9" max="9" width="3.8984375" hidden="1" customWidth="1"/>
    <col min="10" max="11" width="9.296875" customWidth="1"/>
    <col min="12" max="12" width="1.59765625" customWidth="1"/>
    <col min="13" max="13" width="9.296875" customWidth="1"/>
    <col min="14" max="14" width="1.59765625" customWidth="1"/>
    <col min="15" max="15" width="11.19921875" customWidth="1"/>
    <col min="38" max="38" width="11.19921875" style="8" customWidth="1"/>
  </cols>
  <sheetData>
    <row r="1" spans="1:46" ht="14.4" thickBot="1" x14ac:dyDescent="0.3"/>
    <row r="2" spans="1:46" ht="15" thickTop="1" thickBot="1" x14ac:dyDescent="0.3">
      <c r="B2" s="456" t="s">
        <v>21</v>
      </c>
      <c r="C2" s="457"/>
      <c r="D2" s="457"/>
      <c r="E2" s="457"/>
      <c r="F2" s="457"/>
      <c r="G2" s="457"/>
      <c r="H2" s="457"/>
      <c r="I2" s="457"/>
      <c r="J2" s="457"/>
      <c r="K2" s="457"/>
      <c r="L2" s="458"/>
      <c r="M2" s="31"/>
      <c r="P2" s="453" t="s">
        <v>31</v>
      </c>
      <c r="Q2" s="453"/>
      <c r="R2" s="453"/>
      <c r="S2" s="453"/>
      <c r="T2" s="453"/>
      <c r="U2" s="453"/>
      <c r="V2" s="453"/>
      <c r="W2" s="453"/>
      <c r="X2" s="453"/>
      <c r="AD2" s="453" t="s">
        <v>0</v>
      </c>
      <c r="AE2" s="453"/>
      <c r="AT2">
        <v>1</v>
      </c>
    </row>
    <row r="3" spans="1:46" ht="15" thickTop="1" thickBo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19" t="s">
        <v>29</v>
      </c>
      <c r="J3" s="20" t="s">
        <v>20</v>
      </c>
      <c r="K3" s="19" t="s">
        <v>30</v>
      </c>
      <c r="L3" s="459"/>
      <c r="M3" s="32" t="s">
        <v>67</v>
      </c>
      <c r="P3" s="453" t="s">
        <v>32</v>
      </c>
      <c r="Q3" s="453"/>
      <c r="R3" s="453"/>
      <c r="S3" s="453" t="s">
        <v>33</v>
      </c>
      <c r="T3" s="453"/>
      <c r="U3" s="453"/>
      <c r="V3" s="453" t="s">
        <v>34</v>
      </c>
      <c r="W3" s="453"/>
      <c r="X3" s="453"/>
      <c r="AD3" t="s">
        <v>1</v>
      </c>
      <c r="AE3" t="s">
        <v>2</v>
      </c>
    </row>
    <row r="4" spans="1:46" ht="15" thickTop="1" thickBot="1" x14ac:dyDescent="0.3">
      <c r="A4" s="21"/>
      <c r="B4" s="2" t="s">
        <v>13</v>
      </c>
      <c r="C4" s="22">
        <v>44105</v>
      </c>
      <c r="D4" s="3">
        <v>0.3125</v>
      </c>
      <c r="E4" s="3">
        <v>0.51041666666666663</v>
      </c>
      <c r="F4" s="3">
        <f>E4-D4</f>
        <v>0.19791666666666663</v>
      </c>
      <c r="G4" s="3">
        <v>0.54166666666666663</v>
      </c>
      <c r="H4" s="3">
        <v>0.69791666666666663</v>
      </c>
      <c r="I4" s="3">
        <f>H4-G4</f>
        <v>0.15625</v>
      </c>
      <c r="J4" s="28">
        <v>0.35416666666666669</v>
      </c>
      <c r="K4" s="28">
        <f>F4+I4</f>
        <v>0.35416666666666663</v>
      </c>
      <c r="L4" s="459"/>
      <c r="M4" s="33">
        <f>M2+K4-J4</f>
        <v>0</v>
      </c>
      <c r="O4" s="22">
        <v>44105</v>
      </c>
      <c r="P4" s="5" t="s">
        <v>39</v>
      </c>
      <c r="Q4" t="s">
        <v>38</v>
      </c>
      <c r="R4" t="s">
        <v>41</v>
      </c>
      <c r="S4" t="s">
        <v>40</v>
      </c>
      <c r="AD4" t="s">
        <v>3</v>
      </c>
      <c r="AE4" t="s">
        <v>6</v>
      </c>
      <c r="AK4" s="17"/>
      <c r="AL4" s="14" t="s">
        <v>58</v>
      </c>
      <c r="AM4" s="15" t="s">
        <v>59</v>
      </c>
      <c r="AN4" s="454" t="s">
        <v>57</v>
      </c>
      <c r="AO4" s="454"/>
      <c r="AP4" s="15" t="s">
        <v>60</v>
      </c>
      <c r="AQ4" s="16"/>
    </row>
    <row r="5" spans="1:46" ht="15" thickTop="1" thickBot="1" x14ac:dyDescent="0.3">
      <c r="A5" s="21"/>
      <c r="B5" s="2" t="s">
        <v>14</v>
      </c>
      <c r="C5" s="22">
        <v>44106</v>
      </c>
      <c r="D5" s="3">
        <v>0.30208333333333331</v>
      </c>
      <c r="E5" s="3">
        <v>0.51041666666666663</v>
      </c>
      <c r="F5" s="3">
        <f t="shared" ref="F5:F33" si="0">E5-D5</f>
        <v>0.20833333333333331</v>
      </c>
      <c r="G5" s="3">
        <v>0.54166666666666663</v>
      </c>
      <c r="H5" s="3">
        <v>0.67708333333333337</v>
      </c>
      <c r="I5" s="3">
        <f t="shared" ref="I5:I33" si="1">H5-G5</f>
        <v>0.13541666666666674</v>
      </c>
      <c r="J5" s="28">
        <v>0.33333333333333331</v>
      </c>
      <c r="K5" s="28">
        <f>F5+I5</f>
        <v>0.34375000000000006</v>
      </c>
      <c r="L5" s="459"/>
      <c r="M5" s="34">
        <f t="shared" ref="M5:M33" si="2">M4+K5-J5</f>
        <v>1.0416666666666741E-2</v>
      </c>
      <c r="N5" s="30"/>
      <c r="O5" s="22">
        <v>44106</v>
      </c>
      <c r="P5" t="s">
        <v>36</v>
      </c>
      <c r="Q5" s="7" t="s">
        <v>55</v>
      </c>
      <c r="R5" t="s">
        <v>41</v>
      </c>
      <c r="S5" t="s">
        <v>42</v>
      </c>
      <c r="AD5" t="s">
        <v>4</v>
      </c>
      <c r="AE5" t="s">
        <v>7</v>
      </c>
      <c r="AK5" s="1">
        <v>44136</v>
      </c>
      <c r="AL5" s="10"/>
      <c r="AM5" s="10"/>
      <c r="AN5" s="455"/>
      <c r="AO5" s="455"/>
      <c r="AP5" s="10">
        <f>AM5-AL5</f>
        <v>0</v>
      </c>
    </row>
    <row r="6" spans="1:46" ht="0.15" customHeight="1" thickTop="1" thickBot="1" x14ac:dyDescent="0.3">
      <c r="A6" s="21"/>
      <c r="B6" s="2" t="s">
        <v>15</v>
      </c>
      <c r="C6" s="22">
        <v>44107</v>
      </c>
      <c r="D6" s="3"/>
      <c r="E6" s="3"/>
      <c r="F6" s="3"/>
      <c r="G6" s="3"/>
      <c r="H6" s="3"/>
      <c r="I6" s="3"/>
      <c r="J6" s="28"/>
      <c r="K6" s="28"/>
      <c r="L6" s="459"/>
      <c r="M6" s="34">
        <f t="shared" si="2"/>
        <v>1.0416666666666741E-2</v>
      </c>
      <c r="N6" s="30"/>
      <c r="O6" s="22">
        <v>44107</v>
      </c>
      <c r="R6" s="7"/>
      <c r="AD6" t="s">
        <v>8</v>
      </c>
      <c r="AE6" t="s">
        <v>9</v>
      </c>
      <c r="AL6" s="10"/>
      <c r="AM6" s="10"/>
      <c r="AN6" s="453"/>
      <c r="AO6" s="453"/>
      <c r="AP6" s="10">
        <f t="shared" ref="AP6:AP17" si="3">AM6-AL6</f>
        <v>0</v>
      </c>
    </row>
    <row r="7" spans="1:46" ht="0.15" customHeight="1" thickTop="1" thickBot="1" x14ac:dyDescent="0.3">
      <c r="A7" s="21"/>
      <c r="B7" s="2" t="s">
        <v>16</v>
      </c>
      <c r="C7" s="22">
        <v>44108</v>
      </c>
      <c r="D7" s="3"/>
      <c r="E7" s="3"/>
      <c r="F7" s="3"/>
      <c r="G7" s="3"/>
      <c r="H7" s="3"/>
      <c r="I7" s="3"/>
      <c r="J7" s="28"/>
      <c r="K7" s="28"/>
      <c r="L7" s="459"/>
      <c r="M7" s="34">
        <f t="shared" si="2"/>
        <v>1.0416666666666741E-2</v>
      </c>
      <c r="N7" s="30"/>
      <c r="O7" s="22">
        <v>44108</v>
      </c>
      <c r="AD7" t="s">
        <v>5</v>
      </c>
      <c r="AE7" t="s">
        <v>10</v>
      </c>
      <c r="AL7" s="10"/>
      <c r="AM7" s="10"/>
      <c r="AN7" s="453"/>
      <c r="AO7" s="453"/>
      <c r="AP7" s="10">
        <f t="shared" si="3"/>
        <v>0</v>
      </c>
    </row>
    <row r="8" spans="1:46" ht="15" thickTop="1" thickBot="1" x14ac:dyDescent="0.3">
      <c r="A8" s="21"/>
      <c r="B8" s="2" t="s">
        <v>17</v>
      </c>
      <c r="C8" s="22">
        <v>44109</v>
      </c>
      <c r="D8" s="3">
        <v>0.3125</v>
      </c>
      <c r="E8" s="3">
        <v>0.51041666666666663</v>
      </c>
      <c r="F8" s="6">
        <f t="shared" si="0"/>
        <v>0.19791666666666663</v>
      </c>
      <c r="G8" s="3">
        <v>0.54166666666666663</v>
      </c>
      <c r="H8" s="3">
        <v>0.70833333333333337</v>
      </c>
      <c r="I8" s="3">
        <f t="shared" si="1"/>
        <v>0.16666666666666674</v>
      </c>
      <c r="J8" s="28">
        <v>0.35416666666666669</v>
      </c>
      <c r="K8" s="28">
        <f>F8+I8</f>
        <v>0.36458333333333337</v>
      </c>
      <c r="L8" s="459"/>
      <c r="M8" s="34">
        <f t="shared" si="2"/>
        <v>2.0833333333333426E-2</v>
      </c>
      <c r="N8" s="30"/>
      <c r="O8" s="22">
        <v>44109</v>
      </c>
      <c r="P8" t="s">
        <v>35</v>
      </c>
      <c r="Q8" s="7" t="s">
        <v>53</v>
      </c>
      <c r="R8" t="s">
        <v>36</v>
      </c>
      <c r="S8" s="7" t="s">
        <v>40</v>
      </c>
      <c r="AD8" t="s">
        <v>12</v>
      </c>
      <c r="AE8" t="s">
        <v>11</v>
      </c>
      <c r="AL8" s="10"/>
      <c r="AM8" s="10"/>
      <c r="AN8" s="453"/>
      <c r="AO8" s="453"/>
      <c r="AP8" s="10">
        <f t="shared" si="3"/>
        <v>0</v>
      </c>
    </row>
    <row r="9" spans="1:46" ht="15" thickTop="1" thickBot="1" x14ac:dyDescent="0.3">
      <c r="A9" s="21"/>
      <c r="B9" s="13" t="s">
        <v>18</v>
      </c>
      <c r="C9" s="23">
        <v>44110</v>
      </c>
      <c r="D9" s="11"/>
      <c r="E9" s="11"/>
      <c r="F9" s="11">
        <f t="shared" si="0"/>
        <v>0</v>
      </c>
      <c r="G9" s="11"/>
      <c r="H9" s="11">
        <v>0.35416666666666669</v>
      </c>
      <c r="I9" s="11">
        <f t="shared" si="1"/>
        <v>0.35416666666666669</v>
      </c>
      <c r="J9" s="29">
        <v>0.35416666666666669</v>
      </c>
      <c r="K9" s="29">
        <f>F9+I9</f>
        <v>0.35416666666666669</v>
      </c>
      <c r="L9" s="459"/>
      <c r="M9" s="34">
        <f t="shared" si="2"/>
        <v>2.0833333333333426E-2</v>
      </c>
      <c r="N9" s="30"/>
      <c r="O9" s="23">
        <v>44110</v>
      </c>
      <c r="P9" t="s">
        <v>35</v>
      </c>
      <c r="Q9" t="s">
        <v>50</v>
      </c>
      <c r="S9" s="7"/>
      <c r="AD9" t="s">
        <v>49</v>
      </c>
      <c r="AL9" s="10"/>
      <c r="AM9" s="10"/>
      <c r="AN9" s="453"/>
      <c r="AO9" s="453"/>
      <c r="AP9" s="10">
        <f t="shared" si="3"/>
        <v>0</v>
      </c>
    </row>
    <row r="10" spans="1:46" ht="15" thickTop="1" thickBot="1" x14ac:dyDescent="0.3">
      <c r="A10" s="21"/>
      <c r="B10" s="2" t="s">
        <v>19</v>
      </c>
      <c r="C10" s="22">
        <v>44111</v>
      </c>
      <c r="D10" s="3">
        <v>0.32291666666666669</v>
      </c>
      <c r="E10" s="3">
        <v>0.51041666666666663</v>
      </c>
      <c r="F10" s="3">
        <f t="shared" si="0"/>
        <v>0.18749999999999994</v>
      </c>
      <c r="G10" s="3">
        <v>0.54166666666666663</v>
      </c>
      <c r="H10" s="3">
        <v>0.70833333333333337</v>
      </c>
      <c r="I10" s="3">
        <f t="shared" si="1"/>
        <v>0.16666666666666674</v>
      </c>
      <c r="J10" s="28">
        <v>0.35416666666666669</v>
      </c>
      <c r="K10" s="28">
        <f>F10+I10</f>
        <v>0.35416666666666669</v>
      </c>
      <c r="L10" s="459"/>
      <c r="M10" s="34">
        <f t="shared" si="2"/>
        <v>2.0833333333333426E-2</v>
      </c>
      <c r="N10" s="30"/>
      <c r="O10" s="22">
        <v>44111</v>
      </c>
      <c r="P10" t="s">
        <v>36</v>
      </c>
      <c r="Q10" s="7" t="s">
        <v>54</v>
      </c>
      <c r="R10" t="s">
        <v>37</v>
      </c>
      <c r="S10" s="7" t="s">
        <v>48</v>
      </c>
      <c r="T10" s="7" t="s">
        <v>35</v>
      </c>
      <c r="U10" s="7" t="s">
        <v>40</v>
      </c>
      <c r="AL10" s="10"/>
      <c r="AM10" s="10"/>
      <c r="AN10" s="453"/>
      <c r="AO10" s="453"/>
      <c r="AP10" s="10">
        <f t="shared" si="3"/>
        <v>0</v>
      </c>
    </row>
    <row r="11" spans="1:46" ht="15" thickTop="1" thickBot="1" x14ac:dyDescent="0.3">
      <c r="A11" s="21"/>
      <c r="B11" s="2" t="s">
        <v>13</v>
      </c>
      <c r="C11" s="22">
        <v>44112</v>
      </c>
      <c r="D11" s="3">
        <v>0.3125</v>
      </c>
      <c r="E11" s="3">
        <v>0.51041666666666663</v>
      </c>
      <c r="F11" s="3">
        <f t="shared" si="0"/>
        <v>0.19791666666666663</v>
      </c>
      <c r="G11" s="3">
        <v>0.54166666666666663</v>
      </c>
      <c r="H11" s="3">
        <v>0.73958333333333337</v>
      </c>
      <c r="I11" s="3">
        <f t="shared" si="1"/>
        <v>0.19791666666666674</v>
      </c>
      <c r="J11" s="28">
        <v>0.35416666666666669</v>
      </c>
      <c r="K11" s="28">
        <f>F11+I11</f>
        <v>0.39583333333333337</v>
      </c>
      <c r="L11" s="459"/>
      <c r="M11" s="34">
        <f t="shared" si="2"/>
        <v>6.2500000000000111E-2</v>
      </c>
      <c r="N11" s="30"/>
      <c r="O11" s="22">
        <v>44112</v>
      </c>
      <c r="P11" t="s">
        <v>43</v>
      </c>
      <c r="Q11" s="7" t="s">
        <v>52</v>
      </c>
      <c r="R11" t="s">
        <v>5</v>
      </c>
      <c r="S11" s="7" t="s">
        <v>52</v>
      </c>
      <c r="T11" t="s">
        <v>44</v>
      </c>
      <c r="U11" t="s">
        <v>45</v>
      </c>
      <c r="V11" t="s">
        <v>35</v>
      </c>
      <c r="W11" t="s">
        <v>51</v>
      </c>
      <c r="AL11" s="10"/>
      <c r="AM11" s="10"/>
      <c r="AN11" s="453"/>
      <c r="AO11" s="453"/>
      <c r="AP11" s="10">
        <f t="shared" si="3"/>
        <v>0</v>
      </c>
    </row>
    <row r="12" spans="1:46" ht="15" thickTop="1" thickBot="1" x14ac:dyDescent="0.3">
      <c r="A12" s="21"/>
      <c r="B12" s="2" t="s">
        <v>14</v>
      </c>
      <c r="C12" s="22">
        <v>44113</v>
      </c>
      <c r="D12" s="3">
        <v>0.3125</v>
      </c>
      <c r="E12" s="3">
        <v>0.51041666666666663</v>
      </c>
      <c r="F12" s="3">
        <f t="shared" si="0"/>
        <v>0.19791666666666663</v>
      </c>
      <c r="G12" s="3">
        <v>0.54166666666666663</v>
      </c>
      <c r="H12" s="3">
        <v>0.63541666666666663</v>
      </c>
      <c r="I12" s="3">
        <f t="shared" si="1"/>
        <v>9.375E-2</v>
      </c>
      <c r="J12" s="28">
        <v>0.33333333333333331</v>
      </c>
      <c r="K12" s="28">
        <f>F12+I12</f>
        <v>0.29166666666666663</v>
      </c>
      <c r="L12" s="459"/>
      <c r="M12" s="34">
        <f t="shared" si="2"/>
        <v>2.0833333333333426E-2</v>
      </c>
      <c r="N12" s="30"/>
      <c r="O12" s="22">
        <v>44113</v>
      </c>
      <c r="P12" t="s">
        <v>46</v>
      </c>
      <c r="Q12" s="7" t="s">
        <v>47</v>
      </c>
      <c r="R12" s="7" t="s">
        <v>41</v>
      </c>
      <c r="S12" t="s">
        <v>48</v>
      </c>
      <c r="AL12" s="10"/>
      <c r="AM12" s="10"/>
      <c r="AN12" s="453"/>
      <c r="AO12" s="453"/>
      <c r="AP12" s="10">
        <f t="shared" si="3"/>
        <v>0</v>
      </c>
    </row>
    <row r="13" spans="1:46" ht="0.15" customHeight="1" thickTop="1" thickBot="1" x14ac:dyDescent="0.3">
      <c r="A13" s="21"/>
      <c r="B13" s="2" t="s">
        <v>15</v>
      </c>
      <c r="C13" s="22">
        <v>44114</v>
      </c>
      <c r="D13" s="3"/>
      <c r="E13" s="3"/>
      <c r="F13" s="3"/>
      <c r="G13" s="3"/>
      <c r="H13" s="3"/>
      <c r="I13" s="3"/>
      <c r="J13" s="28"/>
      <c r="K13" s="28"/>
      <c r="L13" s="459"/>
      <c r="M13" s="34">
        <f t="shared" si="2"/>
        <v>2.0833333333333426E-2</v>
      </c>
      <c r="N13" s="30"/>
      <c r="O13" s="22">
        <v>44114</v>
      </c>
      <c r="AD13" t="s">
        <v>61</v>
      </c>
      <c r="AL13" s="10"/>
      <c r="AM13" s="10"/>
      <c r="AN13" s="453"/>
      <c r="AO13" s="453"/>
      <c r="AP13" s="10">
        <f t="shared" si="3"/>
        <v>0</v>
      </c>
    </row>
    <row r="14" spans="1:46" ht="0.15" customHeight="1" thickTop="1" thickBot="1" x14ac:dyDescent="0.3">
      <c r="A14" s="21"/>
      <c r="B14" s="2" t="s">
        <v>16</v>
      </c>
      <c r="C14" s="22">
        <v>44115</v>
      </c>
      <c r="D14" s="3"/>
      <c r="E14" s="3"/>
      <c r="F14" s="3"/>
      <c r="G14" s="3"/>
      <c r="H14" s="3"/>
      <c r="I14" s="3"/>
      <c r="J14" s="28"/>
      <c r="K14" s="28"/>
      <c r="L14" s="459"/>
      <c r="M14" s="34">
        <f t="shared" si="2"/>
        <v>2.0833333333333426E-2</v>
      </c>
      <c r="N14" s="30"/>
      <c r="O14" s="22">
        <v>44115</v>
      </c>
      <c r="AD14" t="s">
        <v>62</v>
      </c>
      <c r="AL14" s="10"/>
      <c r="AM14" s="10"/>
      <c r="AN14" s="453"/>
      <c r="AO14" s="453"/>
      <c r="AP14" s="10">
        <f t="shared" si="3"/>
        <v>0</v>
      </c>
    </row>
    <row r="15" spans="1:46" ht="15" thickTop="1" thickBot="1" x14ac:dyDescent="0.3">
      <c r="A15" s="21"/>
      <c r="B15" s="2" t="s">
        <v>17</v>
      </c>
      <c r="C15" s="22">
        <v>44116</v>
      </c>
      <c r="D15" s="3">
        <v>0.30208333333333331</v>
      </c>
      <c r="E15" s="3">
        <v>0.51041666666666663</v>
      </c>
      <c r="F15" s="3">
        <f t="shared" si="0"/>
        <v>0.20833333333333331</v>
      </c>
      <c r="G15" s="3">
        <v>0.54166666666666663</v>
      </c>
      <c r="H15" s="3">
        <v>0.77083333333333337</v>
      </c>
      <c r="I15" s="3">
        <f t="shared" si="1"/>
        <v>0.22916666666666674</v>
      </c>
      <c r="J15" s="28">
        <v>0.35416666666666669</v>
      </c>
      <c r="K15" s="28">
        <f>F15+I15</f>
        <v>0.43750000000000006</v>
      </c>
      <c r="L15" s="459"/>
      <c r="M15" s="34">
        <f t="shared" si="2"/>
        <v>0.1041666666666668</v>
      </c>
      <c r="N15" s="30"/>
      <c r="O15" s="22">
        <v>44116</v>
      </c>
      <c r="P15" t="s">
        <v>35</v>
      </c>
      <c r="Q15" s="7" t="s">
        <v>47</v>
      </c>
      <c r="R15" t="s">
        <v>3</v>
      </c>
      <c r="S15" t="s">
        <v>48</v>
      </c>
      <c r="T15" t="s">
        <v>49</v>
      </c>
      <c r="U15" t="s">
        <v>51</v>
      </c>
      <c r="AD15" t="s">
        <v>63</v>
      </c>
      <c r="AL15" s="10"/>
      <c r="AM15" s="10"/>
      <c r="AN15" s="453"/>
      <c r="AO15" s="453"/>
      <c r="AP15" s="10">
        <f t="shared" si="3"/>
        <v>0</v>
      </c>
    </row>
    <row r="16" spans="1:46" ht="15" thickTop="1" thickBot="1" x14ac:dyDescent="0.3">
      <c r="A16" s="21"/>
      <c r="B16" s="13" t="s">
        <v>18</v>
      </c>
      <c r="C16" s="23">
        <v>44117</v>
      </c>
      <c r="D16" s="11"/>
      <c r="E16" s="11"/>
      <c r="F16" s="11">
        <f t="shared" si="0"/>
        <v>0</v>
      </c>
      <c r="G16" s="11"/>
      <c r="H16" s="11">
        <v>0.35416666666666669</v>
      </c>
      <c r="I16" s="11">
        <f t="shared" si="1"/>
        <v>0.35416666666666669</v>
      </c>
      <c r="J16" s="29">
        <v>0.35416666666666669</v>
      </c>
      <c r="K16" s="29">
        <f>F16+I16</f>
        <v>0.35416666666666669</v>
      </c>
      <c r="L16" s="459"/>
      <c r="M16" s="34">
        <f t="shared" si="2"/>
        <v>0.1041666666666668</v>
      </c>
      <c r="N16" s="30"/>
      <c r="O16" s="23">
        <v>44117</v>
      </c>
      <c r="P16" t="s">
        <v>35</v>
      </c>
      <c r="Q16" t="s">
        <v>50</v>
      </c>
      <c r="AD16" t="s">
        <v>64</v>
      </c>
      <c r="AL16" s="10"/>
      <c r="AM16" s="10"/>
      <c r="AN16" s="453"/>
      <c r="AO16" s="453"/>
      <c r="AP16" s="10">
        <f t="shared" si="3"/>
        <v>0</v>
      </c>
    </row>
    <row r="17" spans="1:42" ht="15" thickTop="1" thickBot="1" x14ac:dyDescent="0.3">
      <c r="A17" s="21"/>
      <c r="B17" s="2" t="s">
        <v>19</v>
      </c>
      <c r="C17" s="22">
        <v>44118</v>
      </c>
      <c r="D17" s="3">
        <v>0.32291666666666669</v>
      </c>
      <c r="E17" s="3">
        <v>0.51041666666666663</v>
      </c>
      <c r="F17" s="3">
        <f t="shared" si="0"/>
        <v>0.18749999999999994</v>
      </c>
      <c r="G17" s="3">
        <v>0.54166666666666663</v>
      </c>
      <c r="H17" s="3">
        <v>0.70833333333333337</v>
      </c>
      <c r="I17" s="3">
        <f t="shared" si="1"/>
        <v>0.16666666666666674</v>
      </c>
      <c r="J17" s="28">
        <v>0.35416666666666669</v>
      </c>
      <c r="K17" s="28">
        <f>F17+I17</f>
        <v>0.35416666666666669</v>
      </c>
      <c r="L17" s="459"/>
      <c r="M17" s="34">
        <f t="shared" si="2"/>
        <v>0.1041666666666668</v>
      </c>
      <c r="N17" s="30"/>
      <c r="O17" s="22">
        <v>44118</v>
      </c>
      <c r="P17" t="s">
        <v>35</v>
      </c>
      <c r="Q17" t="s">
        <v>50</v>
      </c>
      <c r="AD17" t="s">
        <v>65</v>
      </c>
      <c r="AN17" s="453"/>
      <c r="AO17" s="453"/>
      <c r="AP17" s="10">
        <f t="shared" si="3"/>
        <v>0</v>
      </c>
    </row>
    <row r="18" spans="1:42" ht="15" thickTop="1" thickBot="1" x14ac:dyDescent="0.3">
      <c r="A18" s="21"/>
      <c r="B18" s="2" t="s">
        <v>13</v>
      </c>
      <c r="C18" s="22">
        <v>44119</v>
      </c>
      <c r="D18" s="3">
        <v>0.32291666666666669</v>
      </c>
      <c r="E18" s="3">
        <v>0.51041666666666663</v>
      </c>
      <c r="F18" s="3">
        <f t="shared" si="0"/>
        <v>0.18749999999999994</v>
      </c>
      <c r="G18" s="3">
        <v>0.54166666666666663</v>
      </c>
      <c r="H18" s="3">
        <v>0.6875</v>
      </c>
      <c r="I18" s="3">
        <f t="shared" si="1"/>
        <v>0.14583333333333337</v>
      </c>
      <c r="J18" s="28">
        <v>0.35416666666666669</v>
      </c>
      <c r="K18" s="28">
        <f>F18+I18</f>
        <v>0.33333333333333331</v>
      </c>
      <c r="L18" s="459"/>
      <c r="M18" s="34">
        <f t="shared" si="2"/>
        <v>8.3333333333333426E-2</v>
      </c>
      <c r="N18" s="30"/>
      <c r="O18" s="22">
        <v>44119</v>
      </c>
      <c r="P18" t="s">
        <v>46</v>
      </c>
      <c r="Q18" t="s">
        <v>56</v>
      </c>
      <c r="R18" t="s">
        <v>5</v>
      </c>
      <c r="S18" t="s">
        <v>45</v>
      </c>
      <c r="AD18" t="s">
        <v>66</v>
      </c>
      <c r="AN18" s="453"/>
      <c r="AO18" s="453"/>
    </row>
    <row r="19" spans="1:42" ht="15" thickTop="1" thickBot="1" x14ac:dyDescent="0.3">
      <c r="A19" s="21"/>
      <c r="B19" s="2" t="s">
        <v>14</v>
      </c>
      <c r="C19" s="22">
        <v>44120</v>
      </c>
      <c r="D19" s="3">
        <v>0.32291666666666669</v>
      </c>
      <c r="E19" s="3">
        <v>0.51041666666666663</v>
      </c>
      <c r="F19" s="3">
        <f t="shared" si="0"/>
        <v>0.18749999999999994</v>
      </c>
      <c r="G19" s="3">
        <v>0.54166666666666663</v>
      </c>
      <c r="H19" s="3">
        <v>0.61458333333333337</v>
      </c>
      <c r="I19" s="3">
        <f t="shared" si="1"/>
        <v>7.2916666666666741E-2</v>
      </c>
      <c r="J19" s="28">
        <v>0.33333333333333331</v>
      </c>
      <c r="K19" s="28">
        <f>F19+I19</f>
        <v>0.26041666666666669</v>
      </c>
      <c r="L19" s="459"/>
      <c r="M19" s="34">
        <f t="shared" si="2"/>
        <v>1.0416666666666796E-2</v>
      </c>
      <c r="N19" s="30"/>
      <c r="O19" s="22">
        <v>44120</v>
      </c>
      <c r="P19" t="s">
        <v>46</v>
      </c>
      <c r="Q19" t="s">
        <v>52</v>
      </c>
      <c r="AN19" s="453"/>
      <c r="AO19" s="453"/>
    </row>
    <row r="20" spans="1:42" ht="0.15" customHeight="1" thickTop="1" thickBot="1" x14ac:dyDescent="0.3">
      <c r="A20" s="21"/>
      <c r="B20" s="2" t="s">
        <v>15</v>
      </c>
      <c r="C20" s="22">
        <v>44121</v>
      </c>
      <c r="D20" s="3"/>
      <c r="E20" s="3"/>
      <c r="F20" s="3"/>
      <c r="G20" s="3"/>
      <c r="H20" s="3"/>
      <c r="I20" s="3"/>
      <c r="J20" s="28"/>
      <c r="K20" s="28"/>
      <c r="L20" s="459"/>
      <c r="M20" s="34">
        <f t="shared" si="2"/>
        <v>1.0416666666666796E-2</v>
      </c>
      <c r="N20" s="30"/>
      <c r="O20" s="22">
        <v>44121</v>
      </c>
      <c r="AN20" s="453"/>
      <c r="AO20" s="453"/>
    </row>
    <row r="21" spans="1:42" ht="0.15" customHeight="1" thickTop="1" thickBot="1" x14ac:dyDescent="0.3">
      <c r="A21" s="21"/>
      <c r="B21" s="2" t="s">
        <v>16</v>
      </c>
      <c r="C21" s="22">
        <v>44122</v>
      </c>
      <c r="D21" s="3"/>
      <c r="E21" s="3"/>
      <c r="F21" s="3"/>
      <c r="G21" s="3"/>
      <c r="H21" s="3"/>
      <c r="I21" s="3"/>
      <c r="J21" s="28"/>
      <c r="K21" s="28"/>
      <c r="L21" s="459"/>
      <c r="M21" s="34">
        <f t="shared" si="2"/>
        <v>1.0416666666666796E-2</v>
      </c>
      <c r="N21" s="30"/>
      <c r="O21" s="22">
        <v>44122</v>
      </c>
      <c r="AN21" s="453"/>
      <c r="AO21" s="453"/>
    </row>
    <row r="22" spans="1:42" ht="15" thickTop="1" thickBot="1" x14ac:dyDescent="0.3">
      <c r="A22" s="21"/>
      <c r="B22" s="2" t="s">
        <v>17</v>
      </c>
      <c r="C22" s="22">
        <v>44123</v>
      </c>
      <c r="D22" s="3">
        <v>0.3125</v>
      </c>
      <c r="E22" s="3">
        <v>0.48958333333333331</v>
      </c>
      <c r="F22" s="3">
        <f t="shared" si="0"/>
        <v>0.17708333333333331</v>
      </c>
      <c r="G22" s="3">
        <v>0.54166666666666663</v>
      </c>
      <c r="H22" s="3">
        <v>0.71875</v>
      </c>
      <c r="I22" s="3">
        <f t="shared" si="1"/>
        <v>0.17708333333333337</v>
      </c>
      <c r="J22" s="28">
        <v>0.35416666666666669</v>
      </c>
      <c r="K22" s="28">
        <f>F22+I22</f>
        <v>0.35416666666666669</v>
      </c>
      <c r="L22" s="459"/>
      <c r="M22" s="34">
        <f t="shared" si="2"/>
        <v>1.0416666666666796E-2</v>
      </c>
      <c r="N22" s="30"/>
      <c r="O22" s="22">
        <v>44123</v>
      </c>
      <c r="P22" t="s">
        <v>35</v>
      </c>
      <c r="Q22" t="s">
        <v>56</v>
      </c>
      <c r="R22" t="s">
        <v>3</v>
      </c>
      <c r="S22" t="s">
        <v>48</v>
      </c>
      <c r="AN22" s="453"/>
      <c r="AO22" s="453"/>
    </row>
    <row r="23" spans="1:42" ht="15" thickTop="1" thickBot="1" x14ac:dyDescent="0.3">
      <c r="A23" s="21"/>
      <c r="B23" s="2" t="s">
        <v>18</v>
      </c>
      <c r="C23" s="22">
        <v>44124</v>
      </c>
      <c r="D23" s="3">
        <v>0.33333333333333331</v>
      </c>
      <c r="E23" s="3">
        <v>0.51041666666666663</v>
      </c>
      <c r="F23" s="3">
        <f t="shared" si="0"/>
        <v>0.17708333333333331</v>
      </c>
      <c r="G23" s="3">
        <v>0.54166666666666663</v>
      </c>
      <c r="H23" s="3">
        <v>0.73958333333333337</v>
      </c>
      <c r="I23" s="3">
        <f t="shared" si="1"/>
        <v>0.19791666666666674</v>
      </c>
      <c r="J23" s="28">
        <v>0.35416666666666669</v>
      </c>
      <c r="K23" s="29">
        <f>F23+I23</f>
        <v>0.37500000000000006</v>
      </c>
      <c r="L23" s="459"/>
      <c r="M23" s="34">
        <f t="shared" si="2"/>
        <v>3.1250000000000167E-2</v>
      </c>
      <c r="N23" s="30"/>
      <c r="O23" s="22">
        <v>44124</v>
      </c>
      <c r="P23" t="s">
        <v>35</v>
      </c>
      <c r="Q23" t="s">
        <v>55</v>
      </c>
      <c r="R23" t="s">
        <v>68</v>
      </c>
      <c r="S23" t="s">
        <v>54</v>
      </c>
    </row>
    <row r="24" spans="1:42" ht="15" thickTop="1" thickBot="1" x14ac:dyDescent="0.3">
      <c r="A24" s="21"/>
      <c r="B24" s="2" t="s">
        <v>19</v>
      </c>
      <c r="C24" s="22">
        <v>44125</v>
      </c>
      <c r="D24" s="3">
        <v>0.34375</v>
      </c>
      <c r="E24" s="3">
        <v>0.51041666666666663</v>
      </c>
      <c r="F24" s="3">
        <f t="shared" si="0"/>
        <v>0.16666666666666663</v>
      </c>
      <c r="G24" s="3">
        <v>0.54166666666666663</v>
      </c>
      <c r="H24" s="3">
        <v>0.71875</v>
      </c>
      <c r="I24" s="3">
        <f t="shared" si="1"/>
        <v>0.17708333333333337</v>
      </c>
      <c r="J24" s="28">
        <v>0.35416666666666669</v>
      </c>
      <c r="K24" s="28">
        <f>F24+I24</f>
        <v>0.34375</v>
      </c>
      <c r="L24" s="459"/>
      <c r="M24" s="34">
        <f t="shared" si="2"/>
        <v>2.0833333333333481E-2</v>
      </c>
      <c r="N24" s="30"/>
      <c r="O24" s="22">
        <v>44125</v>
      </c>
      <c r="P24" t="s">
        <v>35</v>
      </c>
      <c r="Q24" t="s">
        <v>42</v>
      </c>
      <c r="R24" t="s">
        <v>69</v>
      </c>
      <c r="S24" t="s">
        <v>55</v>
      </c>
    </row>
    <row r="25" spans="1:42" ht="15" thickTop="1" thickBot="1" x14ac:dyDescent="0.3">
      <c r="A25" s="21"/>
      <c r="B25" s="2" t="s">
        <v>13</v>
      </c>
      <c r="C25" s="22">
        <v>44126</v>
      </c>
      <c r="D25" s="3">
        <v>0.32291666666666669</v>
      </c>
      <c r="E25" s="3">
        <v>0.51041666666666663</v>
      </c>
      <c r="F25" s="3">
        <f t="shared" si="0"/>
        <v>0.18749999999999994</v>
      </c>
      <c r="G25" s="3">
        <v>0.54166666666666663</v>
      </c>
      <c r="H25" s="3">
        <v>0.71875</v>
      </c>
      <c r="I25" s="3">
        <f t="shared" si="1"/>
        <v>0.17708333333333337</v>
      </c>
      <c r="J25" s="28">
        <v>0.35416666666666669</v>
      </c>
      <c r="K25" s="28">
        <f>F25+I25</f>
        <v>0.36458333333333331</v>
      </c>
      <c r="L25" s="459"/>
      <c r="M25" s="34">
        <f t="shared" si="2"/>
        <v>3.1250000000000111E-2</v>
      </c>
      <c r="N25" s="30"/>
      <c r="O25" s="22">
        <v>44126</v>
      </c>
      <c r="P25" t="s">
        <v>75</v>
      </c>
      <c r="Q25" s="7" t="s">
        <v>70</v>
      </c>
    </row>
    <row r="26" spans="1:42" ht="15" thickTop="1" thickBot="1" x14ac:dyDescent="0.3">
      <c r="A26" s="21"/>
      <c r="B26" s="2" t="s">
        <v>14</v>
      </c>
      <c r="C26" s="22">
        <v>44127</v>
      </c>
      <c r="D26" s="3">
        <v>0.32291666666666669</v>
      </c>
      <c r="E26" s="3">
        <v>0.51041666666666663</v>
      </c>
      <c r="F26" s="3">
        <f t="shared" si="0"/>
        <v>0.18749999999999994</v>
      </c>
      <c r="G26" s="3">
        <v>0.54166666666666663</v>
      </c>
      <c r="H26" s="3">
        <v>0.6875</v>
      </c>
      <c r="I26" s="3">
        <f t="shared" si="1"/>
        <v>0.14583333333333337</v>
      </c>
      <c r="J26" s="28">
        <v>0.33333333333333331</v>
      </c>
      <c r="K26" s="28">
        <f>F26+I26</f>
        <v>0.33333333333333331</v>
      </c>
      <c r="L26" s="459"/>
      <c r="M26" s="34">
        <f t="shared" si="2"/>
        <v>3.1250000000000111E-2</v>
      </c>
      <c r="N26" s="30"/>
      <c r="O26" s="22">
        <v>44127</v>
      </c>
      <c r="P26" t="s">
        <v>3</v>
      </c>
      <c r="Q26" t="s">
        <v>51</v>
      </c>
      <c r="R26" t="s">
        <v>71</v>
      </c>
      <c r="S26" t="s">
        <v>45</v>
      </c>
    </row>
    <row r="27" spans="1:42" ht="0.15" customHeight="1" thickTop="1" thickBot="1" x14ac:dyDescent="0.3">
      <c r="A27" s="21"/>
      <c r="B27" s="2" t="s">
        <v>15</v>
      </c>
      <c r="C27" s="22">
        <v>44128</v>
      </c>
      <c r="D27" s="3"/>
      <c r="E27" s="3"/>
      <c r="F27" s="3"/>
      <c r="G27" s="3"/>
      <c r="H27" s="3"/>
      <c r="I27" s="3"/>
      <c r="J27" s="28"/>
      <c r="K27" s="28"/>
      <c r="L27" s="459"/>
      <c r="M27" s="34">
        <f t="shared" si="2"/>
        <v>3.1250000000000111E-2</v>
      </c>
      <c r="N27" s="30"/>
      <c r="O27" s="22">
        <v>44128</v>
      </c>
    </row>
    <row r="28" spans="1:42" ht="0.15" customHeight="1" thickTop="1" thickBot="1" x14ac:dyDescent="0.3">
      <c r="A28" s="21"/>
      <c r="B28" s="2" t="s">
        <v>16</v>
      </c>
      <c r="C28" s="22">
        <v>44129</v>
      </c>
      <c r="D28" s="3"/>
      <c r="E28" s="3"/>
      <c r="F28" s="3"/>
      <c r="G28" s="3"/>
      <c r="H28" s="3"/>
      <c r="I28" s="3"/>
      <c r="J28" s="28"/>
      <c r="K28" s="28"/>
      <c r="L28" s="459"/>
      <c r="M28" s="34">
        <f t="shared" si="2"/>
        <v>3.1250000000000111E-2</v>
      </c>
      <c r="N28" s="30"/>
      <c r="O28" s="22">
        <v>44129</v>
      </c>
    </row>
    <row r="29" spans="1:42" ht="15" thickTop="1" thickBot="1" x14ac:dyDescent="0.3">
      <c r="A29" s="21"/>
      <c r="B29" s="2" t="s">
        <v>17</v>
      </c>
      <c r="C29" s="22">
        <v>44130</v>
      </c>
      <c r="D29" s="3">
        <v>0.30208333333333331</v>
      </c>
      <c r="E29" s="3">
        <v>0.51041666666666663</v>
      </c>
      <c r="F29" s="3">
        <f t="shared" si="0"/>
        <v>0.20833333333333331</v>
      </c>
      <c r="G29" s="3">
        <v>0.54166666666666663</v>
      </c>
      <c r="H29" s="3">
        <v>0.6875</v>
      </c>
      <c r="I29" s="3">
        <f t="shared" si="1"/>
        <v>0.14583333333333337</v>
      </c>
      <c r="J29" s="28">
        <v>0.35416666666666669</v>
      </c>
      <c r="K29" s="28">
        <f t="shared" ref="K29:K34" si="4">F29+I29</f>
        <v>0.35416666666666669</v>
      </c>
      <c r="L29" s="459"/>
      <c r="M29" s="34">
        <f t="shared" si="2"/>
        <v>3.1250000000000111E-2</v>
      </c>
      <c r="N29" s="30"/>
      <c r="O29" s="22">
        <v>44130</v>
      </c>
      <c r="P29" t="s">
        <v>3</v>
      </c>
      <c r="Q29" t="s">
        <v>45</v>
      </c>
      <c r="R29" t="s">
        <v>72</v>
      </c>
      <c r="S29" t="s">
        <v>38</v>
      </c>
      <c r="T29" t="s">
        <v>73</v>
      </c>
      <c r="U29" t="s">
        <v>45</v>
      </c>
      <c r="V29" t="s">
        <v>5</v>
      </c>
      <c r="W29" t="s">
        <v>52</v>
      </c>
    </row>
    <row r="30" spans="1:42" ht="15" thickTop="1" thickBot="1" x14ac:dyDescent="0.3">
      <c r="A30" s="21"/>
      <c r="B30" s="13" t="s">
        <v>18</v>
      </c>
      <c r="C30" s="23">
        <v>44131</v>
      </c>
      <c r="D30" s="11"/>
      <c r="E30" s="11"/>
      <c r="F30" s="11">
        <f t="shared" si="0"/>
        <v>0</v>
      </c>
      <c r="G30" s="11"/>
      <c r="H30" s="11">
        <v>0.35416666666666669</v>
      </c>
      <c r="I30" s="11">
        <f t="shared" si="1"/>
        <v>0.35416666666666669</v>
      </c>
      <c r="J30" s="29">
        <v>0.35416666666666669</v>
      </c>
      <c r="K30" s="28">
        <f t="shared" si="4"/>
        <v>0.35416666666666669</v>
      </c>
      <c r="L30" s="459"/>
      <c r="M30" s="34">
        <f t="shared" si="2"/>
        <v>3.1250000000000111E-2</v>
      </c>
      <c r="N30" s="30"/>
      <c r="O30" s="23">
        <v>44131</v>
      </c>
      <c r="P30" t="s">
        <v>35</v>
      </c>
      <c r="Q30" t="s">
        <v>50</v>
      </c>
    </row>
    <row r="31" spans="1:42" ht="15" thickTop="1" thickBot="1" x14ac:dyDescent="0.3">
      <c r="A31" s="21"/>
      <c r="B31" s="35" t="s">
        <v>19</v>
      </c>
      <c r="C31" s="36">
        <v>44132</v>
      </c>
      <c r="D31" s="37">
        <v>0.3125</v>
      </c>
      <c r="E31" s="37">
        <v>0.51041666666666663</v>
      </c>
      <c r="F31" s="37">
        <f t="shared" si="0"/>
        <v>0.19791666666666663</v>
      </c>
      <c r="G31" s="37">
        <v>0.54166666666666663</v>
      </c>
      <c r="H31" s="37">
        <v>0.69791666666666663</v>
      </c>
      <c r="I31" s="37">
        <f t="shared" si="1"/>
        <v>0.15625</v>
      </c>
      <c r="J31" s="38">
        <v>0.35416666666666669</v>
      </c>
      <c r="K31" s="29">
        <f t="shared" si="4"/>
        <v>0.35416666666666663</v>
      </c>
      <c r="L31" s="459"/>
      <c r="M31" s="34">
        <f t="shared" si="2"/>
        <v>3.1250000000000056E-2</v>
      </c>
      <c r="N31" s="30"/>
      <c r="O31" s="36">
        <v>44132</v>
      </c>
      <c r="P31" t="s">
        <v>5</v>
      </c>
      <c r="Q31" t="s">
        <v>55</v>
      </c>
      <c r="R31" t="s">
        <v>35</v>
      </c>
      <c r="S31" t="s">
        <v>74</v>
      </c>
    </row>
    <row r="32" spans="1:42" ht="15" thickTop="1" thickBot="1" x14ac:dyDescent="0.3">
      <c r="A32" s="21"/>
      <c r="B32" s="2" t="s">
        <v>13</v>
      </c>
      <c r="C32" s="22">
        <v>44133</v>
      </c>
      <c r="D32" s="3">
        <v>0.3125</v>
      </c>
      <c r="E32" s="3">
        <v>0.51041666666666663</v>
      </c>
      <c r="F32" s="3">
        <f t="shared" si="0"/>
        <v>0.19791666666666663</v>
      </c>
      <c r="G32" s="3">
        <v>0.54166666666666663</v>
      </c>
      <c r="H32" s="3">
        <v>0.69791666666666663</v>
      </c>
      <c r="I32" s="3">
        <f t="shared" si="1"/>
        <v>0.15625</v>
      </c>
      <c r="J32" s="28">
        <v>0.35416666666666669</v>
      </c>
      <c r="K32" s="28">
        <f t="shared" si="4"/>
        <v>0.35416666666666663</v>
      </c>
      <c r="L32" s="459"/>
      <c r="M32" s="34">
        <f t="shared" si="2"/>
        <v>3.125E-2</v>
      </c>
      <c r="N32" s="30"/>
      <c r="O32" s="22">
        <v>44133</v>
      </c>
      <c r="P32" t="s">
        <v>75</v>
      </c>
      <c r="Q32" t="s">
        <v>53</v>
      </c>
      <c r="R32" t="s">
        <v>5</v>
      </c>
      <c r="S32" t="s">
        <v>52</v>
      </c>
      <c r="T32" t="s">
        <v>73</v>
      </c>
      <c r="U32" t="s">
        <v>45</v>
      </c>
    </row>
    <row r="33" spans="1:20" ht="15" thickTop="1" thickBot="1" x14ac:dyDescent="0.3">
      <c r="A33" s="21"/>
      <c r="B33" s="2" t="s">
        <v>14</v>
      </c>
      <c r="C33" s="22">
        <v>44134</v>
      </c>
      <c r="D33" s="3">
        <v>0.33333333333333331</v>
      </c>
      <c r="E33" s="3">
        <v>0.51041666666666663</v>
      </c>
      <c r="F33" s="3">
        <f t="shared" si="0"/>
        <v>0.17708333333333331</v>
      </c>
      <c r="G33" s="3">
        <v>0.54166666666666663</v>
      </c>
      <c r="H33" s="3">
        <v>0.66666666666666663</v>
      </c>
      <c r="I33" s="3">
        <f t="shared" si="1"/>
        <v>0.125</v>
      </c>
      <c r="J33" s="28">
        <v>0.33333333333333331</v>
      </c>
      <c r="K33" s="28">
        <f t="shared" si="4"/>
        <v>0.30208333333333331</v>
      </c>
      <c r="L33" s="459"/>
      <c r="M33" s="34">
        <f t="shared" si="2"/>
        <v>0</v>
      </c>
      <c r="N33" s="30"/>
      <c r="O33" s="22">
        <v>44134</v>
      </c>
      <c r="P33" t="s">
        <v>5</v>
      </c>
      <c r="Q33" t="s">
        <v>74</v>
      </c>
      <c r="R33" t="s">
        <v>76</v>
      </c>
      <c r="S33" t="s">
        <v>45</v>
      </c>
      <c r="T33" t="s">
        <v>35</v>
      </c>
    </row>
    <row r="34" spans="1:20" ht="15" hidden="1" thickTop="1" thickBot="1" x14ac:dyDescent="0.3">
      <c r="B34" s="2" t="s">
        <v>15</v>
      </c>
      <c r="C34" s="22">
        <v>44135</v>
      </c>
      <c r="D34" s="3"/>
      <c r="E34" s="3"/>
      <c r="F34" s="3">
        <f>E34-D34</f>
        <v>0</v>
      </c>
      <c r="G34" s="3"/>
      <c r="H34" s="3"/>
      <c r="I34" s="3">
        <f>H34-G34</f>
        <v>0</v>
      </c>
      <c r="J34" s="28">
        <v>0.375</v>
      </c>
      <c r="K34" s="28">
        <f t="shared" si="4"/>
        <v>0</v>
      </c>
      <c r="L34" s="460"/>
      <c r="M34" s="34"/>
    </row>
    <row r="35" spans="1:20" ht="14.4" thickTop="1" x14ac:dyDescent="0.25"/>
    <row r="37" spans="1:20" x14ac:dyDescent="0.25">
      <c r="C37" s="1"/>
    </row>
    <row r="38" spans="1:20" x14ac:dyDescent="0.25">
      <c r="C38" s="1"/>
    </row>
    <row r="39" spans="1:20" x14ac:dyDescent="0.25">
      <c r="C39" s="1"/>
    </row>
    <row r="40" spans="1:20" x14ac:dyDescent="0.25">
      <c r="C40" s="1"/>
    </row>
    <row r="41" spans="1:20" x14ac:dyDescent="0.25">
      <c r="C41" s="1"/>
    </row>
    <row r="42" spans="1:20" x14ac:dyDescent="0.25">
      <c r="C42" s="1"/>
    </row>
    <row r="43" spans="1:20" x14ac:dyDescent="0.25">
      <c r="P43" s="9"/>
      <c r="Q43" s="10"/>
    </row>
    <row r="44" spans="1:20" x14ac:dyDescent="0.25">
      <c r="Q44" s="1"/>
    </row>
    <row r="45" spans="1:20" x14ac:dyDescent="0.25">
      <c r="P45" s="9"/>
      <c r="S45" s="7"/>
    </row>
    <row r="46" spans="1:20" x14ac:dyDescent="0.25">
      <c r="P46" s="9"/>
      <c r="Q46" s="10"/>
    </row>
    <row r="47" spans="1:20" x14ac:dyDescent="0.25">
      <c r="Q47" s="1"/>
    </row>
    <row r="48" spans="1:20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</sheetData>
  <mergeCells count="26">
    <mergeCell ref="AD2:AE2"/>
    <mergeCell ref="AN19:AO19"/>
    <mergeCell ref="B2:K2"/>
    <mergeCell ref="P2:X2"/>
    <mergeCell ref="V3:X3"/>
    <mergeCell ref="S3:U3"/>
    <mergeCell ref="P3:R3"/>
    <mergeCell ref="L2:L34"/>
    <mergeCell ref="AN11:AO11"/>
    <mergeCell ref="AN12:AO12"/>
    <mergeCell ref="AN13:AO13"/>
    <mergeCell ref="AN14:AO14"/>
    <mergeCell ref="AN15:AO15"/>
    <mergeCell ref="AN20:AO20"/>
    <mergeCell ref="AN21:AO21"/>
    <mergeCell ref="AN22:AO22"/>
    <mergeCell ref="AN4:AO4"/>
    <mergeCell ref="AN5:AO5"/>
    <mergeCell ref="AN6:AO6"/>
    <mergeCell ref="AN7:AO7"/>
    <mergeCell ref="AN8:AO8"/>
    <mergeCell ref="AN9:AO9"/>
    <mergeCell ref="AN10:AO10"/>
    <mergeCell ref="AN16:AO16"/>
    <mergeCell ref="AN17:AO17"/>
    <mergeCell ref="AN18:AO18"/>
  </mergeCells>
  <conditionalFormatting sqref="K4:K34">
    <cfRule type="expression" dxfId="154" priority="5">
      <formula>K4=0</formula>
    </cfRule>
    <cfRule type="expression" dxfId="153" priority="6">
      <formula>K4&gt;J4</formula>
    </cfRule>
    <cfRule type="expression" dxfId="152" priority="7">
      <formula>K4&lt;J4</formula>
    </cfRule>
    <cfRule type="expression" dxfId="151" priority="8">
      <formula>K4&gt;=J4</formula>
    </cfRule>
  </conditionalFormatting>
  <conditionalFormatting sqref="M5:M34">
    <cfRule type="expression" dxfId="150" priority="1">
      <formula>M4=M5</formula>
    </cfRule>
    <cfRule type="expression" dxfId="149" priority="2">
      <formula>M5&lt;M4</formula>
    </cfRule>
    <cfRule type="expression" dxfId="148" priority="3">
      <formula>M5&gt;M4</formula>
    </cfRule>
  </conditionalFormatting>
  <conditionalFormatting sqref="M23:M34">
    <cfRule type="expression" dxfId="147" priority="13">
      <formula>M23=0</formula>
    </cfRule>
    <cfRule type="expression" dxfId="146" priority="14">
      <formula>M23&gt;K23</formula>
    </cfRule>
    <cfRule type="expression" dxfId="145" priority="15">
      <formula>M23&lt;K23</formula>
    </cfRule>
    <cfRule type="expression" dxfId="144" priority="16">
      <formula>M23&gt;=K23</formula>
    </cfRule>
  </conditionalFormatting>
  <dataValidations disablePrompts="1" count="2">
    <dataValidation type="list" allowBlank="1" showInputMessage="1" showErrorMessage="1" sqref="D37:D67 F37:F67" xr:uid="{00000000-0002-0000-0100-000000000000}">
      <formula1>$AE$4:$AE$8</formula1>
    </dataValidation>
    <dataValidation type="list" allowBlank="1" showInputMessage="1" showErrorMessage="1" sqref="AN5:AO22" xr:uid="{00000000-0002-0000-0100-000001000000}">
      <formula1>$AD$13:$AD$18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theme="3" tint="0.59999389629810485"/>
    <pageSetUpPr fitToPage="1"/>
  </sheetPr>
  <dimension ref="A1:AP67"/>
  <sheetViews>
    <sheetView showZeros="0" zoomScale="55" zoomScaleNormal="55" zoomScaleSheetLayoutView="100" zoomScalePageLayoutView="40" workbookViewId="0">
      <selection sqref="A1:U36"/>
    </sheetView>
  </sheetViews>
  <sheetFormatPr baseColWidth="10" defaultRowHeight="13.8" x14ac:dyDescent="0.25"/>
  <cols>
    <col min="2" max="5" width="9.296875" customWidth="1"/>
    <col min="6" max="6" width="0.296875" hidden="1" customWidth="1"/>
    <col min="7" max="8" width="9.296875" customWidth="1"/>
    <col min="9" max="9" width="18.5" hidden="1" customWidth="1"/>
    <col min="10" max="11" width="9.296875" customWidth="1"/>
    <col min="12" max="12" width="1.59765625" customWidth="1"/>
    <col min="13" max="13" width="9.296875" customWidth="1"/>
    <col min="14" max="14" width="11.19921875" customWidth="1"/>
    <col min="15" max="15" width="5.296875" customWidth="1"/>
    <col min="17" max="17" width="5.296875" customWidth="1"/>
    <col min="18" max="18" width="19" customWidth="1"/>
    <col min="19" max="19" width="5.296875" customWidth="1"/>
    <col min="21" max="21" width="5.296875" customWidth="1"/>
    <col min="37" max="37" width="11.19921875" style="8" customWidth="1"/>
  </cols>
  <sheetData>
    <row r="1" spans="1:42" ht="14.4" thickBot="1" x14ac:dyDescent="0.3"/>
    <row r="2" spans="1:42" ht="15.6" customHeight="1" thickTop="1" thickBot="1" x14ac:dyDescent="0.3">
      <c r="B2" s="456" t="s">
        <v>21</v>
      </c>
      <c r="C2" s="457"/>
      <c r="D2" s="457"/>
      <c r="E2" s="457"/>
      <c r="F2" s="457"/>
      <c r="G2" s="457"/>
      <c r="H2" s="457"/>
      <c r="I2" s="457"/>
      <c r="J2" s="457"/>
      <c r="K2" s="457"/>
      <c r="L2" s="458"/>
      <c r="M2" s="27">
        <v>0</v>
      </c>
      <c r="AC2" s="453" t="s">
        <v>0</v>
      </c>
      <c r="AD2" s="453"/>
    </row>
    <row r="3" spans="1:42" ht="15.6" customHeight="1" thickTop="1" thickBo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19" t="s">
        <v>29</v>
      </c>
      <c r="J3" s="20" t="s">
        <v>20</v>
      </c>
      <c r="K3" s="19" t="s">
        <v>30</v>
      </c>
      <c r="L3" s="459"/>
      <c r="M3" s="24" t="s">
        <v>67</v>
      </c>
      <c r="AC3" t="s">
        <v>1</v>
      </c>
      <c r="AD3" t="s">
        <v>2</v>
      </c>
    </row>
    <row r="4" spans="1:42" ht="97.2" hidden="1" customHeight="1" thickTop="1" thickBot="1" x14ac:dyDescent="0.3">
      <c r="A4" s="21"/>
      <c r="B4" s="2" t="s">
        <v>16</v>
      </c>
      <c r="C4" s="22">
        <v>44136</v>
      </c>
      <c r="D4" s="3"/>
      <c r="E4" s="3"/>
      <c r="F4" s="3">
        <f>E4-D4</f>
        <v>0</v>
      </c>
      <c r="G4" s="3"/>
      <c r="H4" s="3">
        <v>0.35416666666666669</v>
      </c>
      <c r="I4" s="3">
        <f>H4-G4</f>
        <v>0.35416666666666669</v>
      </c>
      <c r="J4" s="4">
        <v>0.35416666666666669</v>
      </c>
      <c r="K4" s="4">
        <f>F4+I4</f>
        <v>0.35416666666666669</v>
      </c>
      <c r="L4" s="459"/>
      <c r="M4" s="25"/>
      <c r="N4" t="s">
        <v>72</v>
      </c>
      <c r="O4" s="5"/>
      <c r="AC4" t="s">
        <v>3</v>
      </c>
      <c r="AD4" t="s">
        <v>6</v>
      </c>
      <c r="AJ4" s="17"/>
      <c r="AK4" s="14"/>
      <c r="AL4" s="41"/>
      <c r="AM4" s="43"/>
      <c r="AN4" s="43"/>
      <c r="AO4" s="42"/>
      <c r="AP4" s="16"/>
    </row>
    <row r="5" spans="1:42" ht="15.6" customHeight="1" thickTop="1" thickBot="1" x14ac:dyDescent="0.3">
      <c r="A5" s="21"/>
      <c r="B5" s="2" t="s">
        <v>17</v>
      </c>
      <c r="C5" s="22">
        <v>44137</v>
      </c>
      <c r="D5" s="3">
        <v>0.41666666666666669</v>
      </c>
      <c r="E5" s="3">
        <v>0.51041666666666663</v>
      </c>
      <c r="F5" s="3">
        <f>E5-D5</f>
        <v>9.3749999999999944E-2</v>
      </c>
      <c r="G5" s="3">
        <v>0.54166666666666663</v>
      </c>
      <c r="H5" s="3">
        <v>0.72916666666666663</v>
      </c>
      <c r="I5" s="3">
        <f>H5-G5</f>
        <v>0.1875</v>
      </c>
      <c r="J5" s="4">
        <v>0.35416666666666669</v>
      </c>
      <c r="K5" s="4">
        <f>F5+I5</f>
        <v>0.28124999999999994</v>
      </c>
      <c r="L5" s="459"/>
      <c r="M5" s="25">
        <f>M4+K5-J5</f>
        <v>-7.2916666666666741E-2</v>
      </c>
      <c r="N5" t="s">
        <v>72</v>
      </c>
      <c r="O5" t="s">
        <v>92</v>
      </c>
      <c r="P5" s="7" t="s">
        <v>76</v>
      </c>
      <c r="Q5" t="s">
        <v>48</v>
      </c>
      <c r="AC5" t="s">
        <v>4</v>
      </c>
      <c r="AD5" t="s">
        <v>7</v>
      </c>
      <c r="AJ5" s="1"/>
      <c r="AK5" s="10"/>
      <c r="AL5" s="10"/>
      <c r="AM5" s="40"/>
      <c r="AO5" s="10"/>
    </row>
    <row r="6" spans="1:42" ht="15.6" customHeight="1" thickTop="1" thickBot="1" x14ac:dyDescent="0.3">
      <c r="A6" s="21"/>
      <c r="B6" s="13" t="s">
        <v>18</v>
      </c>
      <c r="C6" s="23">
        <v>44138</v>
      </c>
      <c r="D6" s="11"/>
      <c r="E6" s="11"/>
      <c r="F6" s="11">
        <f t="shared" ref="F6:F33" si="0">E6-D6</f>
        <v>0</v>
      </c>
      <c r="G6" s="11"/>
      <c r="H6" s="11">
        <v>0.35416666666666669</v>
      </c>
      <c r="I6" s="11">
        <f t="shared" ref="I6:I33" si="1">H6-G6</f>
        <v>0.35416666666666669</v>
      </c>
      <c r="J6" s="12">
        <v>0.35416666666666669</v>
      </c>
      <c r="K6" s="4">
        <f t="shared" ref="K6:K33" si="2">F6+I6</f>
        <v>0.35416666666666669</v>
      </c>
      <c r="L6" s="459"/>
      <c r="M6" s="25">
        <f t="shared" ref="M6:M21" si="3">M5+K6-J6</f>
        <v>-7.2916666666666741E-2</v>
      </c>
      <c r="N6" s="39" t="s">
        <v>72</v>
      </c>
      <c r="O6" s="39" t="s">
        <v>50</v>
      </c>
      <c r="Q6" s="7"/>
      <c r="R6" s="7"/>
      <c r="S6" s="7"/>
      <c r="AC6" t="s">
        <v>8</v>
      </c>
      <c r="AD6" t="s">
        <v>9</v>
      </c>
      <c r="AK6" s="10"/>
      <c r="AL6" s="10"/>
      <c r="AM6" s="40"/>
      <c r="AO6" s="10"/>
    </row>
    <row r="7" spans="1:42" ht="15.6" customHeight="1" thickTop="1" thickBot="1" x14ac:dyDescent="0.3">
      <c r="A7" s="21"/>
      <c r="B7" s="2" t="s">
        <v>19</v>
      </c>
      <c r="C7" s="22">
        <v>44139</v>
      </c>
      <c r="D7" s="3">
        <v>0.3125</v>
      </c>
      <c r="E7" s="3">
        <v>0.51041666666666663</v>
      </c>
      <c r="F7" s="3">
        <f t="shared" si="0"/>
        <v>0.19791666666666663</v>
      </c>
      <c r="G7" s="3">
        <v>0.54166666666666663</v>
      </c>
      <c r="H7" s="3">
        <v>0.73958333333333337</v>
      </c>
      <c r="I7" s="3">
        <f t="shared" si="1"/>
        <v>0.19791666666666674</v>
      </c>
      <c r="J7" s="4">
        <v>0.35416666666666669</v>
      </c>
      <c r="K7" s="4">
        <f t="shared" si="2"/>
        <v>0.39583333333333337</v>
      </c>
      <c r="L7" s="459"/>
      <c r="M7" s="25">
        <f t="shared" si="3"/>
        <v>-3.1250000000000056E-2</v>
      </c>
      <c r="N7" t="s">
        <v>72</v>
      </c>
      <c r="O7" t="s">
        <v>77</v>
      </c>
      <c r="P7" t="s">
        <v>5</v>
      </c>
      <c r="Q7" t="s">
        <v>38</v>
      </c>
      <c r="S7" s="7"/>
      <c r="AC7" t="s">
        <v>5</v>
      </c>
      <c r="AD7" t="s">
        <v>10</v>
      </c>
      <c r="AK7" s="10"/>
      <c r="AL7" s="10"/>
      <c r="AM7" s="40"/>
      <c r="AO7" s="10"/>
    </row>
    <row r="8" spans="1:42" ht="15.6" customHeight="1" thickTop="1" thickBot="1" x14ac:dyDescent="0.3">
      <c r="A8" s="21"/>
      <c r="B8" s="2" t="s">
        <v>13</v>
      </c>
      <c r="C8" s="22">
        <v>44140</v>
      </c>
      <c r="D8" s="3">
        <v>0.32291666666666669</v>
      </c>
      <c r="E8" s="3">
        <v>0.51041666666666663</v>
      </c>
      <c r="F8" s="3">
        <f t="shared" si="0"/>
        <v>0.18749999999999994</v>
      </c>
      <c r="G8" s="3">
        <v>0.54166666666666663</v>
      </c>
      <c r="H8" s="3">
        <v>0.71875</v>
      </c>
      <c r="I8" s="3">
        <f t="shared" si="1"/>
        <v>0.17708333333333337</v>
      </c>
      <c r="J8" s="4">
        <v>0.35416666666666669</v>
      </c>
      <c r="K8" s="4">
        <f t="shared" si="2"/>
        <v>0.36458333333333331</v>
      </c>
      <c r="L8" s="459"/>
      <c r="M8" s="25">
        <f t="shared" si="3"/>
        <v>-2.0833333333333426E-2</v>
      </c>
      <c r="N8" t="s">
        <v>72</v>
      </c>
      <c r="O8" t="s">
        <v>81</v>
      </c>
      <c r="P8" s="7" t="s">
        <v>78</v>
      </c>
      <c r="Q8" t="s">
        <v>38</v>
      </c>
      <c r="R8" s="7" t="s">
        <v>64</v>
      </c>
      <c r="S8" s="7" t="s">
        <v>45</v>
      </c>
      <c r="T8" s="7" t="s">
        <v>80</v>
      </c>
      <c r="U8" s="7" t="s">
        <v>52</v>
      </c>
      <c r="AC8" t="s">
        <v>12</v>
      </c>
      <c r="AD8" t="s">
        <v>11</v>
      </c>
      <c r="AK8" s="10"/>
      <c r="AL8" s="10"/>
      <c r="AM8" s="40"/>
      <c r="AO8" s="10"/>
    </row>
    <row r="9" spans="1:42" ht="15.6" customHeight="1" thickTop="1" thickBot="1" x14ac:dyDescent="0.3">
      <c r="A9" s="21"/>
      <c r="B9" s="2" t="s">
        <v>14</v>
      </c>
      <c r="C9" s="22">
        <v>44141</v>
      </c>
      <c r="D9" s="3">
        <v>0.3125</v>
      </c>
      <c r="E9" s="3">
        <v>0.51041666666666663</v>
      </c>
      <c r="F9" s="3">
        <f t="shared" si="0"/>
        <v>0.19791666666666663</v>
      </c>
      <c r="G9" s="3">
        <v>0.54166666666666663</v>
      </c>
      <c r="H9" s="3">
        <v>0.69791666666666663</v>
      </c>
      <c r="I9" s="3">
        <f t="shared" si="1"/>
        <v>0.15625</v>
      </c>
      <c r="J9" s="4">
        <v>0.33333333333333331</v>
      </c>
      <c r="K9" s="4">
        <f t="shared" si="2"/>
        <v>0.35416666666666663</v>
      </c>
      <c r="L9" s="459"/>
      <c r="M9" s="25">
        <f t="shared" si="3"/>
        <v>0</v>
      </c>
      <c r="N9" t="s">
        <v>72</v>
      </c>
      <c r="O9" t="s">
        <v>54</v>
      </c>
      <c r="P9" t="s">
        <v>80</v>
      </c>
      <c r="Q9" t="s">
        <v>47</v>
      </c>
      <c r="R9" s="7"/>
      <c r="S9" s="7"/>
      <c r="AC9" t="s">
        <v>49</v>
      </c>
      <c r="AK9" s="10"/>
      <c r="AL9" s="10"/>
      <c r="AM9" s="40"/>
      <c r="AO9" s="10"/>
    </row>
    <row r="10" spans="1:42" ht="15.6" hidden="1" customHeight="1" thickTop="1" thickBot="1" x14ac:dyDescent="0.3">
      <c r="A10" s="21"/>
      <c r="B10" s="2" t="s">
        <v>15</v>
      </c>
      <c r="C10" s="22">
        <v>44142</v>
      </c>
      <c r="D10" s="3"/>
      <c r="E10" s="3"/>
      <c r="F10" s="3">
        <f t="shared" si="0"/>
        <v>0</v>
      </c>
      <c r="G10" s="3"/>
      <c r="H10" s="3"/>
      <c r="I10" s="3">
        <f t="shared" si="1"/>
        <v>0</v>
      </c>
      <c r="J10" s="4"/>
      <c r="K10" s="4">
        <f t="shared" si="2"/>
        <v>0</v>
      </c>
      <c r="L10" s="459"/>
      <c r="M10" s="25">
        <f t="shared" si="3"/>
        <v>0</v>
      </c>
      <c r="N10" t="s">
        <v>72</v>
      </c>
      <c r="P10" s="7"/>
      <c r="R10" s="7"/>
      <c r="S10" s="7"/>
      <c r="T10" s="7"/>
      <c r="AK10" s="10"/>
      <c r="AL10" s="10"/>
      <c r="AM10" s="40"/>
      <c r="AN10" s="40"/>
      <c r="AO10" s="10"/>
    </row>
    <row r="11" spans="1:42" ht="15.6" hidden="1" customHeight="1" thickTop="1" thickBot="1" x14ac:dyDescent="0.3">
      <c r="A11" s="21"/>
      <c r="B11" s="2" t="s">
        <v>16</v>
      </c>
      <c r="C11" s="22">
        <v>44143</v>
      </c>
      <c r="D11" s="3"/>
      <c r="E11" s="3"/>
      <c r="F11" s="3">
        <f t="shared" si="0"/>
        <v>0</v>
      </c>
      <c r="G11" s="3"/>
      <c r="H11" s="3"/>
      <c r="I11" s="3">
        <f t="shared" si="1"/>
        <v>0</v>
      </c>
      <c r="J11" s="4"/>
      <c r="K11" s="4">
        <f t="shared" si="2"/>
        <v>0</v>
      </c>
      <c r="L11" s="459"/>
      <c r="M11" s="25">
        <f t="shared" si="3"/>
        <v>0</v>
      </c>
      <c r="N11" t="s">
        <v>72</v>
      </c>
      <c r="P11" s="7"/>
      <c r="R11" s="7"/>
      <c r="AK11" s="10"/>
      <c r="AL11" s="10"/>
      <c r="AM11" s="40"/>
      <c r="AN11" s="40"/>
      <c r="AO11" s="10"/>
    </row>
    <row r="12" spans="1:42" ht="15.6" customHeight="1" thickTop="1" thickBot="1" x14ac:dyDescent="0.3">
      <c r="A12" s="21"/>
      <c r="B12" s="2" t="s">
        <v>17</v>
      </c>
      <c r="C12" s="22">
        <v>44144</v>
      </c>
      <c r="D12" s="3">
        <v>0.32291666666666669</v>
      </c>
      <c r="E12" s="3">
        <v>0.51041666666666663</v>
      </c>
      <c r="F12" s="3">
        <f t="shared" si="0"/>
        <v>0.18749999999999994</v>
      </c>
      <c r="G12" s="3">
        <v>0.54166666666666663</v>
      </c>
      <c r="H12" s="3">
        <v>0.70833333333333337</v>
      </c>
      <c r="I12" s="3">
        <f t="shared" si="1"/>
        <v>0.16666666666666674</v>
      </c>
      <c r="J12" s="4">
        <v>0.35416666666666669</v>
      </c>
      <c r="K12" s="4">
        <f t="shared" si="2"/>
        <v>0.35416666666666669</v>
      </c>
      <c r="L12" s="459"/>
      <c r="M12" s="25">
        <f t="shared" si="3"/>
        <v>0</v>
      </c>
      <c r="N12" t="s">
        <v>72</v>
      </c>
      <c r="O12" t="s">
        <v>82</v>
      </c>
      <c r="P12" s="7" t="s">
        <v>5</v>
      </c>
      <c r="Q12" t="s">
        <v>52</v>
      </c>
      <c r="AK12" s="10"/>
      <c r="AL12" s="10"/>
      <c r="AM12" s="40"/>
      <c r="AO12" s="10"/>
    </row>
    <row r="13" spans="1:42" ht="15.6" customHeight="1" thickTop="1" thickBot="1" x14ac:dyDescent="0.3">
      <c r="A13" s="21"/>
      <c r="B13" s="13" t="s">
        <v>18</v>
      </c>
      <c r="C13" s="23">
        <v>44145</v>
      </c>
      <c r="D13" s="11"/>
      <c r="E13" s="11"/>
      <c r="F13" s="11">
        <f t="shared" si="0"/>
        <v>0</v>
      </c>
      <c r="G13" s="11"/>
      <c r="H13" s="11">
        <v>0.35416666666666669</v>
      </c>
      <c r="I13" s="11">
        <f t="shared" si="1"/>
        <v>0.35416666666666669</v>
      </c>
      <c r="J13" s="12">
        <v>0.35416666666666669</v>
      </c>
      <c r="K13" s="4">
        <f t="shared" si="2"/>
        <v>0.35416666666666669</v>
      </c>
      <c r="L13" s="459"/>
      <c r="M13" s="25">
        <f t="shared" si="3"/>
        <v>0</v>
      </c>
      <c r="N13" s="39" t="s">
        <v>72</v>
      </c>
      <c r="O13" s="39" t="s">
        <v>50</v>
      </c>
      <c r="AC13" t="s">
        <v>61</v>
      </c>
      <c r="AK13" s="10"/>
      <c r="AL13" s="10"/>
      <c r="AM13" s="40"/>
      <c r="AO13" s="10"/>
    </row>
    <row r="14" spans="1:42" ht="15.6" customHeight="1" thickTop="1" thickBot="1" x14ac:dyDescent="0.3">
      <c r="A14" s="21" t="s">
        <v>83</v>
      </c>
      <c r="B14" s="2" t="s">
        <v>19</v>
      </c>
      <c r="C14" s="22">
        <v>44146</v>
      </c>
      <c r="D14" s="3">
        <v>0.32291666666666669</v>
      </c>
      <c r="E14" s="3">
        <v>0.51041666666666663</v>
      </c>
      <c r="F14" s="3">
        <f t="shared" si="0"/>
        <v>0.18749999999999994</v>
      </c>
      <c r="G14" s="3">
        <v>0.54166666666666663</v>
      </c>
      <c r="H14" s="3">
        <v>0.71875</v>
      </c>
      <c r="I14" s="3">
        <f t="shared" si="1"/>
        <v>0.17708333333333337</v>
      </c>
      <c r="J14" s="4">
        <v>0.35416666666666669</v>
      </c>
      <c r="K14" s="4">
        <f t="shared" si="2"/>
        <v>0.36458333333333331</v>
      </c>
      <c r="L14" s="459"/>
      <c r="M14" s="25">
        <f t="shared" si="3"/>
        <v>1.041666666666663E-2</v>
      </c>
      <c r="N14" t="s">
        <v>72</v>
      </c>
      <c r="O14" t="s">
        <v>85</v>
      </c>
      <c r="P14" t="s">
        <v>80</v>
      </c>
      <c r="Q14" t="s">
        <v>54</v>
      </c>
      <c r="R14" t="s">
        <v>64</v>
      </c>
      <c r="S14" t="s">
        <v>74</v>
      </c>
      <c r="AC14" t="s">
        <v>62</v>
      </c>
      <c r="AK14" s="10"/>
      <c r="AL14" s="10"/>
      <c r="AM14" s="40"/>
      <c r="AO14" s="10"/>
    </row>
    <row r="15" spans="1:42" ht="15.6" customHeight="1" thickTop="1" thickBot="1" x14ac:dyDescent="0.3">
      <c r="A15" s="21"/>
      <c r="B15" s="2" t="s">
        <v>13</v>
      </c>
      <c r="C15" s="22">
        <v>44147</v>
      </c>
      <c r="D15" s="3">
        <v>0.33333333333333331</v>
      </c>
      <c r="E15" s="3">
        <v>0.51041666666666663</v>
      </c>
      <c r="F15" s="3">
        <f t="shared" si="0"/>
        <v>0.17708333333333331</v>
      </c>
      <c r="G15" s="3">
        <v>0.54166666666666663</v>
      </c>
      <c r="H15" s="3">
        <v>0.71875</v>
      </c>
      <c r="I15" s="3">
        <f t="shared" si="1"/>
        <v>0.17708333333333337</v>
      </c>
      <c r="J15" s="4">
        <v>0.35416666666666669</v>
      </c>
      <c r="K15" s="4">
        <f t="shared" si="2"/>
        <v>0.35416666666666669</v>
      </c>
      <c r="L15" s="459"/>
      <c r="M15" s="25">
        <f t="shared" si="3"/>
        <v>1.041666666666663E-2</v>
      </c>
      <c r="N15" t="s">
        <v>72</v>
      </c>
      <c r="P15" s="7" t="s">
        <v>84</v>
      </c>
      <c r="Q15" t="s">
        <v>50</v>
      </c>
      <c r="AC15" t="s">
        <v>63</v>
      </c>
      <c r="AK15" s="10"/>
      <c r="AL15" s="10"/>
      <c r="AM15" s="40"/>
      <c r="AO15" s="10"/>
    </row>
    <row r="16" spans="1:42" ht="15.6" customHeight="1" thickTop="1" thickBot="1" x14ac:dyDescent="0.3">
      <c r="A16" s="21"/>
      <c r="B16" s="2" t="s">
        <v>14</v>
      </c>
      <c r="C16" s="22">
        <v>44148</v>
      </c>
      <c r="D16" s="3">
        <v>0.33333333333333331</v>
      </c>
      <c r="E16" s="3">
        <v>0.51041666666666663</v>
      </c>
      <c r="F16" s="3">
        <f t="shared" si="0"/>
        <v>0.17708333333333331</v>
      </c>
      <c r="G16" s="3">
        <v>0.54166666666666663</v>
      </c>
      <c r="H16" s="3">
        <v>0.6875</v>
      </c>
      <c r="I16" s="3">
        <f t="shared" si="1"/>
        <v>0.14583333333333337</v>
      </c>
      <c r="J16" s="4">
        <v>0.33333333333333331</v>
      </c>
      <c r="K16" s="4">
        <f t="shared" si="2"/>
        <v>0.32291666666666669</v>
      </c>
      <c r="L16" s="459"/>
      <c r="M16" s="25">
        <f t="shared" si="3"/>
        <v>0</v>
      </c>
      <c r="N16" t="s">
        <v>72</v>
      </c>
      <c r="O16" t="s">
        <v>86</v>
      </c>
      <c r="P16" s="7" t="s">
        <v>84</v>
      </c>
      <c r="Q16" t="s">
        <v>38</v>
      </c>
      <c r="R16" t="s">
        <v>64</v>
      </c>
      <c r="S16" t="s">
        <v>74</v>
      </c>
      <c r="AC16" t="s">
        <v>64</v>
      </c>
      <c r="AK16" s="10"/>
      <c r="AL16" s="10"/>
      <c r="AM16" s="40"/>
      <c r="AO16" s="10"/>
    </row>
    <row r="17" spans="1:41" ht="15.6" hidden="1" customHeight="1" thickTop="1" thickBot="1" x14ac:dyDescent="0.3">
      <c r="A17" s="21"/>
      <c r="B17" s="2" t="s">
        <v>15</v>
      </c>
      <c r="C17" s="22">
        <v>44149</v>
      </c>
      <c r="D17" s="3"/>
      <c r="E17" s="3"/>
      <c r="F17" s="3">
        <f t="shared" si="0"/>
        <v>0</v>
      </c>
      <c r="G17" s="3"/>
      <c r="H17" s="3"/>
      <c r="I17" s="3">
        <f t="shared" si="1"/>
        <v>0</v>
      </c>
      <c r="J17" s="4"/>
      <c r="K17" s="4">
        <f t="shared" si="2"/>
        <v>0</v>
      </c>
      <c r="L17" s="459"/>
      <c r="M17" s="25">
        <f t="shared" si="3"/>
        <v>0</v>
      </c>
      <c r="N17" t="s">
        <v>72</v>
      </c>
      <c r="AC17" t="s">
        <v>65</v>
      </c>
      <c r="AM17" s="40"/>
      <c r="AN17" s="40"/>
      <c r="AO17" s="10"/>
    </row>
    <row r="18" spans="1:41" ht="15.6" hidden="1" customHeight="1" thickTop="1" thickBot="1" x14ac:dyDescent="0.3">
      <c r="A18" s="21"/>
      <c r="B18" s="2" t="s">
        <v>16</v>
      </c>
      <c r="C18" s="22">
        <v>44150</v>
      </c>
      <c r="D18" s="3"/>
      <c r="E18" s="3"/>
      <c r="F18" s="3">
        <f t="shared" si="0"/>
        <v>0</v>
      </c>
      <c r="G18" s="3"/>
      <c r="H18" s="3"/>
      <c r="I18" s="3">
        <f t="shared" si="1"/>
        <v>0</v>
      </c>
      <c r="J18" s="4"/>
      <c r="K18" s="4">
        <f t="shared" si="2"/>
        <v>0</v>
      </c>
      <c r="L18" s="459"/>
      <c r="M18" s="25">
        <f t="shared" si="3"/>
        <v>0</v>
      </c>
      <c r="N18" t="s">
        <v>72</v>
      </c>
      <c r="AC18" t="s">
        <v>66</v>
      </c>
      <c r="AM18" s="40"/>
      <c r="AN18" s="40"/>
    </row>
    <row r="19" spans="1:41" ht="15.6" customHeight="1" thickTop="1" thickBot="1" x14ac:dyDescent="0.3">
      <c r="A19" s="21"/>
      <c r="B19" s="2" t="s">
        <v>17</v>
      </c>
      <c r="C19" s="22">
        <v>44151</v>
      </c>
      <c r="D19" s="3">
        <v>0.3125</v>
      </c>
      <c r="E19" s="3">
        <v>0.51041666666666663</v>
      </c>
      <c r="F19" s="3">
        <f t="shared" si="0"/>
        <v>0.19791666666666663</v>
      </c>
      <c r="G19" s="3">
        <v>0.55208333333333337</v>
      </c>
      <c r="H19" s="3">
        <v>0.70833333333333337</v>
      </c>
      <c r="I19" s="3">
        <f t="shared" si="1"/>
        <v>0.15625</v>
      </c>
      <c r="J19" s="4">
        <v>0.35416666666666669</v>
      </c>
      <c r="K19" s="4">
        <f t="shared" si="2"/>
        <v>0.35416666666666663</v>
      </c>
      <c r="L19" s="459"/>
      <c r="M19" s="25">
        <f t="shared" si="3"/>
        <v>0</v>
      </c>
      <c r="N19" t="s">
        <v>72</v>
      </c>
      <c r="O19" t="s">
        <v>53</v>
      </c>
      <c r="P19" t="s">
        <v>87</v>
      </c>
      <c r="Q19" t="s">
        <v>88</v>
      </c>
      <c r="R19" t="s">
        <v>76</v>
      </c>
      <c r="S19" t="s">
        <v>45</v>
      </c>
      <c r="T19" t="s">
        <v>89</v>
      </c>
      <c r="U19" t="s">
        <v>42</v>
      </c>
      <c r="AC19" t="s">
        <v>76</v>
      </c>
      <c r="AM19" s="40"/>
    </row>
    <row r="20" spans="1:41" ht="15.6" customHeight="1" thickTop="1" thickBot="1" x14ac:dyDescent="0.3">
      <c r="A20" s="21"/>
      <c r="B20" s="13" t="s">
        <v>18</v>
      </c>
      <c r="C20" s="23">
        <v>44152</v>
      </c>
      <c r="D20" s="11"/>
      <c r="E20" s="11"/>
      <c r="F20" s="11">
        <f t="shared" si="0"/>
        <v>0</v>
      </c>
      <c r="G20" s="11"/>
      <c r="H20" s="11">
        <v>0.35416666666666669</v>
      </c>
      <c r="I20" s="11">
        <f t="shared" si="1"/>
        <v>0.35416666666666669</v>
      </c>
      <c r="J20" s="12">
        <v>0.35416666666666669</v>
      </c>
      <c r="K20" s="4">
        <f t="shared" si="2"/>
        <v>0.35416666666666669</v>
      </c>
      <c r="L20" s="459"/>
      <c r="M20" s="25">
        <f t="shared" si="3"/>
        <v>0</v>
      </c>
      <c r="N20" s="39" t="s">
        <v>72</v>
      </c>
      <c r="O20" s="39" t="s">
        <v>50</v>
      </c>
      <c r="AC20" t="s">
        <v>79</v>
      </c>
      <c r="AM20" s="40"/>
    </row>
    <row r="21" spans="1:41" ht="15.6" customHeight="1" thickTop="1" thickBot="1" x14ac:dyDescent="0.3">
      <c r="A21" s="21"/>
      <c r="B21" s="2" t="s">
        <v>19</v>
      </c>
      <c r="C21" s="22">
        <v>44153</v>
      </c>
      <c r="D21" s="3">
        <v>0.30208333333333331</v>
      </c>
      <c r="E21" s="3">
        <v>0.51041666666666663</v>
      </c>
      <c r="F21" s="3">
        <f t="shared" si="0"/>
        <v>0.20833333333333331</v>
      </c>
      <c r="G21" s="3">
        <v>0.54166666666666663</v>
      </c>
      <c r="H21" s="3">
        <v>0.6875</v>
      </c>
      <c r="I21" s="3">
        <f t="shared" si="1"/>
        <v>0.14583333333333337</v>
      </c>
      <c r="J21" s="4">
        <v>0.35416666666666669</v>
      </c>
      <c r="K21" s="4">
        <f t="shared" si="2"/>
        <v>0.35416666666666669</v>
      </c>
      <c r="L21" s="459"/>
      <c r="M21" s="25">
        <f t="shared" si="3"/>
        <v>0</v>
      </c>
      <c r="N21" t="s">
        <v>72</v>
      </c>
      <c r="O21" t="s">
        <v>45</v>
      </c>
      <c r="P21" t="s">
        <v>73</v>
      </c>
      <c r="Q21" t="s">
        <v>51</v>
      </c>
      <c r="R21" t="s">
        <v>63</v>
      </c>
      <c r="S21" t="s">
        <v>40</v>
      </c>
      <c r="AC21" t="s">
        <v>78</v>
      </c>
      <c r="AM21" s="40"/>
    </row>
    <row r="22" spans="1:41" ht="15.6" customHeight="1" thickTop="1" thickBot="1" x14ac:dyDescent="0.3">
      <c r="A22" s="21"/>
      <c r="B22" s="2" t="s">
        <v>13</v>
      </c>
      <c r="C22" s="22">
        <v>44154</v>
      </c>
      <c r="D22" s="3">
        <v>0.3125</v>
      </c>
      <c r="E22" s="3">
        <v>0.51041666666666663</v>
      </c>
      <c r="F22" s="3">
        <f t="shared" si="0"/>
        <v>0.19791666666666663</v>
      </c>
      <c r="G22" s="3">
        <v>0.54166666666666663</v>
      </c>
      <c r="H22" s="3">
        <v>0.69791666666666663</v>
      </c>
      <c r="I22" s="3">
        <f t="shared" si="1"/>
        <v>0.15625</v>
      </c>
      <c r="J22" s="4">
        <v>0.35416666666666669</v>
      </c>
      <c r="K22" s="4">
        <f t="shared" si="2"/>
        <v>0.35416666666666663</v>
      </c>
      <c r="L22" s="459"/>
      <c r="M22" s="25">
        <f>M21+K22-J22</f>
        <v>0</v>
      </c>
      <c r="N22" t="s">
        <v>72</v>
      </c>
      <c r="P22" t="s">
        <v>73</v>
      </c>
      <c r="Q22" t="s">
        <v>50</v>
      </c>
      <c r="AM22" s="40"/>
    </row>
    <row r="23" spans="1:41" ht="15.6" customHeight="1" thickTop="1" thickBot="1" x14ac:dyDescent="0.3">
      <c r="A23" s="21"/>
      <c r="B23" s="2" t="s">
        <v>14</v>
      </c>
      <c r="C23" s="22">
        <v>44155</v>
      </c>
      <c r="D23" s="3">
        <v>0.3125</v>
      </c>
      <c r="E23" s="3">
        <v>0.51041666666666663</v>
      </c>
      <c r="F23" s="3">
        <f t="shared" si="0"/>
        <v>0.19791666666666663</v>
      </c>
      <c r="G23" s="3">
        <v>0.54166666666666663</v>
      </c>
      <c r="H23" s="3">
        <v>0.71875</v>
      </c>
      <c r="I23" s="3">
        <f t="shared" si="1"/>
        <v>0.17708333333333337</v>
      </c>
      <c r="J23" s="4">
        <v>0.33333333333333331</v>
      </c>
      <c r="K23" s="4">
        <f t="shared" si="2"/>
        <v>0.375</v>
      </c>
      <c r="L23" s="459"/>
      <c r="M23" s="25">
        <f>M22+K23-J23</f>
        <v>4.1666666666666685E-2</v>
      </c>
      <c r="N23" t="s">
        <v>72</v>
      </c>
      <c r="O23" t="s">
        <v>45</v>
      </c>
      <c r="P23" t="s">
        <v>73</v>
      </c>
      <c r="Q23" t="s">
        <v>90</v>
      </c>
    </row>
    <row r="24" spans="1:41" ht="15.6" hidden="1" customHeight="1" thickTop="1" thickBot="1" x14ac:dyDescent="0.3">
      <c r="A24" s="21"/>
      <c r="B24" s="2" t="s">
        <v>15</v>
      </c>
      <c r="C24" s="22">
        <v>44156</v>
      </c>
      <c r="D24" s="3"/>
      <c r="E24" s="3"/>
      <c r="F24" s="3">
        <f t="shared" si="0"/>
        <v>0</v>
      </c>
      <c r="G24" s="3"/>
      <c r="H24" s="3"/>
      <c r="I24" s="3">
        <f t="shared" si="1"/>
        <v>0</v>
      </c>
      <c r="J24" s="4"/>
      <c r="K24" s="4">
        <f t="shared" si="2"/>
        <v>0</v>
      </c>
      <c r="L24" s="459"/>
      <c r="M24" s="25">
        <f t="shared" ref="M24:M33" si="4">M23+K24-J24</f>
        <v>4.1666666666666685E-2</v>
      </c>
      <c r="N24" t="s">
        <v>72</v>
      </c>
    </row>
    <row r="25" spans="1:41" ht="15.6" hidden="1" customHeight="1" thickTop="1" thickBot="1" x14ac:dyDescent="0.3">
      <c r="A25" s="21"/>
      <c r="B25" s="2" t="s">
        <v>16</v>
      </c>
      <c r="C25" s="22">
        <v>44157</v>
      </c>
      <c r="D25" s="3"/>
      <c r="E25" s="3"/>
      <c r="F25" s="3">
        <f t="shared" si="0"/>
        <v>0</v>
      </c>
      <c r="G25" s="3"/>
      <c r="H25" s="3"/>
      <c r="I25" s="3">
        <f t="shared" si="1"/>
        <v>0</v>
      </c>
      <c r="J25" s="4"/>
      <c r="K25" s="4">
        <f t="shared" si="2"/>
        <v>0</v>
      </c>
      <c r="L25" s="459"/>
      <c r="M25" s="25">
        <f t="shared" si="4"/>
        <v>4.1666666666666685E-2</v>
      </c>
      <c r="N25" t="s">
        <v>72</v>
      </c>
    </row>
    <row r="26" spans="1:41" ht="15.6" customHeight="1" thickTop="1" thickBot="1" x14ac:dyDescent="0.3">
      <c r="A26" s="21"/>
      <c r="B26" s="2" t="s">
        <v>17</v>
      </c>
      <c r="C26" s="22">
        <v>44158</v>
      </c>
      <c r="D26" s="3">
        <v>0.32291666666666669</v>
      </c>
      <c r="E26" s="3">
        <v>0.51041666666666663</v>
      </c>
      <c r="F26" s="3">
        <f t="shared" si="0"/>
        <v>0.18749999999999994</v>
      </c>
      <c r="G26" s="3">
        <v>0.54166666666666663</v>
      </c>
      <c r="H26" s="3">
        <v>0.6875</v>
      </c>
      <c r="I26" s="3">
        <f t="shared" si="1"/>
        <v>0.14583333333333337</v>
      </c>
      <c r="J26" s="4">
        <v>0.35416666666666669</v>
      </c>
      <c r="K26" s="4">
        <f t="shared" si="2"/>
        <v>0.33333333333333331</v>
      </c>
      <c r="L26" s="459"/>
      <c r="M26" s="25">
        <f t="shared" si="4"/>
        <v>2.0833333333333315E-2</v>
      </c>
      <c r="N26" t="s">
        <v>72</v>
      </c>
      <c r="O26" t="s">
        <v>38</v>
      </c>
      <c r="P26" t="s">
        <v>73</v>
      </c>
      <c r="Q26" t="s">
        <v>51</v>
      </c>
    </row>
    <row r="27" spans="1:41" ht="15.6" customHeight="1" thickTop="1" thickBot="1" x14ac:dyDescent="0.3">
      <c r="A27" s="21"/>
      <c r="B27" s="13" t="s">
        <v>18</v>
      </c>
      <c r="C27" s="23">
        <v>44159</v>
      </c>
      <c r="D27" s="11"/>
      <c r="E27" s="11"/>
      <c r="F27" s="11">
        <f t="shared" si="0"/>
        <v>0</v>
      </c>
      <c r="G27" s="11"/>
      <c r="H27" s="11">
        <v>0.35416666666666669</v>
      </c>
      <c r="I27" s="11">
        <f t="shared" si="1"/>
        <v>0.35416666666666669</v>
      </c>
      <c r="J27" s="12">
        <v>0.35416666666666669</v>
      </c>
      <c r="K27" s="4">
        <f t="shared" si="2"/>
        <v>0.35416666666666669</v>
      </c>
      <c r="L27" s="459"/>
      <c r="M27" s="25">
        <f t="shared" si="4"/>
        <v>2.0833333333333315E-2</v>
      </c>
      <c r="N27" s="39" t="s">
        <v>72</v>
      </c>
      <c r="O27" s="39">
        <v>8.5</v>
      </c>
    </row>
    <row r="28" spans="1:41" ht="15.6" customHeight="1" thickTop="1" thickBot="1" x14ac:dyDescent="0.3">
      <c r="A28" s="21"/>
      <c r="B28" s="2" t="s">
        <v>19</v>
      </c>
      <c r="C28" s="22">
        <v>44160</v>
      </c>
      <c r="D28" s="3">
        <v>0.33333333333333331</v>
      </c>
      <c r="E28" s="3">
        <v>0.51041666666666663</v>
      </c>
      <c r="F28" s="3">
        <f t="shared" si="0"/>
        <v>0.17708333333333331</v>
      </c>
      <c r="G28" s="3">
        <v>0.54166666666666663</v>
      </c>
      <c r="H28" s="3">
        <v>0.69791666666666663</v>
      </c>
      <c r="I28" s="3">
        <f t="shared" si="1"/>
        <v>0.15625</v>
      </c>
      <c r="J28" s="4">
        <v>0.35416666666666669</v>
      </c>
      <c r="K28" s="4">
        <f t="shared" si="2"/>
        <v>0.33333333333333331</v>
      </c>
      <c r="L28" s="459"/>
      <c r="M28" s="25">
        <f t="shared" si="4"/>
        <v>0</v>
      </c>
      <c r="N28" t="s">
        <v>72</v>
      </c>
      <c r="P28" t="s">
        <v>91</v>
      </c>
      <c r="Q28" t="s">
        <v>90</v>
      </c>
    </row>
    <row r="29" spans="1:41" ht="15.6" customHeight="1" thickTop="1" thickBot="1" x14ac:dyDescent="0.3">
      <c r="A29" s="21" t="s">
        <v>83</v>
      </c>
      <c r="B29" s="2" t="s">
        <v>13</v>
      </c>
      <c r="C29" s="22">
        <v>44161</v>
      </c>
      <c r="D29" s="3">
        <v>0.3125</v>
      </c>
      <c r="E29" s="3">
        <v>0.51041666666666663</v>
      </c>
      <c r="F29" s="3">
        <f t="shared" si="0"/>
        <v>0.19791666666666663</v>
      </c>
      <c r="G29" s="3">
        <v>0.54166666666666663</v>
      </c>
      <c r="H29" s="3">
        <v>0.70833333333333337</v>
      </c>
      <c r="I29" s="3">
        <f t="shared" si="1"/>
        <v>0.16666666666666674</v>
      </c>
      <c r="J29" s="4">
        <v>0.35416666666666669</v>
      </c>
      <c r="K29" s="4">
        <f t="shared" si="2"/>
        <v>0.36458333333333337</v>
      </c>
      <c r="L29" s="459"/>
      <c r="M29" s="25">
        <f t="shared" si="4"/>
        <v>1.0416666666666685E-2</v>
      </c>
      <c r="N29" t="s">
        <v>72</v>
      </c>
      <c r="O29">
        <v>3</v>
      </c>
      <c r="P29" t="s">
        <v>78</v>
      </c>
      <c r="Q29" t="s">
        <v>53</v>
      </c>
      <c r="T29" t="s">
        <v>100</v>
      </c>
      <c r="U29" t="s">
        <v>45</v>
      </c>
    </row>
    <row r="30" spans="1:41" ht="15.6" customHeight="1" thickTop="1" thickBot="1" x14ac:dyDescent="0.3">
      <c r="A30" s="21"/>
      <c r="B30" s="2" t="s">
        <v>14</v>
      </c>
      <c r="C30" s="22">
        <v>44162</v>
      </c>
      <c r="D30" s="3">
        <v>0.3125</v>
      </c>
      <c r="E30" s="3">
        <v>0.51041666666666663</v>
      </c>
      <c r="F30" s="3">
        <f t="shared" si="0"/>
        <v>0.19791666666666663</v>
      </c>
      <c r="G30" s="3">
        <v>0.54166666666666663</v>
      </c>
      <c r="H30" s="3">
        <v>0.66666666666666663</v>
      </c>
      <c r="I30" s="3">
        <f t="shared" si="1"/>
        <v>0.125</v>
      </c>
      <c r="J30" s="4">
        <v>0.33333333333333331</v>
      </c>
      <c r="K30" s="4">
        <f t="shared" si="2"/>
        <v>0.32291666666666663</v>
      </c>
      <c r="L30" s="459"/>
      <c r="M30" s="25">
        <f t="shared" si="4"/>
        <v>0</v>
      </c>
      <c r="N30" t="s">
        <v>72</v>
      </c>
      <c r="P30" t="s">
        <v>80</v>
      </c>
      <c r="Q30" t="s">
        <v>53</v>
      </c>
      <c r="R30" t="s">
        <v>64</v>
      </c>
      <c r="S30">
        <v>3</v>
      </c>
    </row>
    <row r="31" spans="1:41" ht="15.6" hidden="1" customHeight="1" thickTop="1" thickBot="1" x14ac:dyDescent="0.3">
      <c r="A31" s="21"/>
      <c r="B31" s="2" t="s">
        <v>15</v>
      </c>
      <c r="C31" s="22">
        <v>44163</v>
      </c>
      <c r="D31" s="3"/>
      <c r="E31" s="3"/>
      <c r="F31" s="3">
        <f t="shared" si="0"/>
        <v>0</v>
      </c>
      <c r="G31" s="3"/>
      <c r="H31" s="3"/>
      <c r="I31" s="3">
        <f t="shared" si="1"/>
        <v>0</v>
      </c>
      <c r="J31" s="4"/>
      <c r="K31" s="4">
        <f t="shared" si="2"/>
        <v>0</v>
      </c>
      <c r="L31" s="459"/>
      <c r="M31" s="25">
        <f t="shared" si="4"/>
        <v>0</v>
      </c>
      <c r="N31" t="s">
        <v>72</v>
      </c>
    </row>
    <row r="32" spans="1:41" ht="15.6" hidden="1" customHeight="1" thickTop="1" thickBot="1" x14ac:dyDescent="0.3">
      <c r="A32" s="21"/>
      <c r="B32" s="2" t="s">
        <v>16</v>
      </c>
      <c r="C32" s="22">
        <v>44164</v>
      </c>
      <c r="D32" s="3"/>
      <c r="E32" s="3"/>
      <c r="F32" s="3">
        <f t="shared" si="0"/>
        <v>0</v>
      </c>
      <c r="G32" s="3"/>
      <c r="H32" s="3"/>
      <c r="I32" s="3">
        <f t="shared" si="1"/>
        <v>0</v>
      </c>
      <c r="J32" s="4"/>
      <c r="K32" s="4">
        <f t="shared" si="2"/>
        <v>0</v>
      </c>
      <c r="L32" s="459"/>
      <c r="M32" s="25">
        <f t="shared" si="4"/>
        <v>0</v>
      </c>
      <c r="N32" t="s">
        <v>72</v>
      </c>
    </row>
    <row r="33" spans="1:18" ht="15.6" customHeight="1" thickTop="1" thickBot="1" x14ac:dyDescent="0.3">
      <c r="A33" s="21"/>
      <c r="B33" s="2" t="s">
        <v>17</v>
      </c>
      <c r="C33" s="22">
        <v>44165</v>
      </c>
      <c r="D33" s="3">
        <v>0.32291666666666669</v>
      </c>
      <c r="E33" s="3">
        <v>0.51041666666666663</v>
      </c>
      <c r="F33" s="3">
        <f t="shared" si="0"/>
        <v>0.18749999999999994</v>
      </c>
      <c r="G33" s="3">
        <v>0.54166666666666663</v>
      </c>
      <c r="H33" s="3">
        <v>0.70833333333333337</v>
      </c>
      <c r="I33" s="3">
        <f t="shared" si="1"/>
        <v>0.16666666666666674</v>
      </c>
      <c r="J33" s="4">
        <v>0.35416666666666669</v>
      </c>
      <c r="K33" s="4">
        <f t="shared" si="2"/>
        <v>0.35416666666666669</v>
      </c>
      <c r="L33" s="460"/>
      <c r="M33" s="25">
        <f t="shared" si="4"/>
        <v>0</v>
      </c>
      <c r="N33" t="s">
        <v>72</v>
      </c>
      <c r="O33">
        <v>4.5</v>
      </c>
      <c r="P33" t="s">
        <v>101</v>
      </c>
      <c r="Q33" t="s">
        <v>52</v>
      </c>
    </row>
    <row r="34" spans="1:18" ht="14.4" thickTop="1" x14ac:dyDescent="0.25">
      <c r="C34" s="26"/>
    </row>
    <row r="37" spans="1:18" x14ac:dyDescent="0.25">
      <c r="C37" s="1"/>
    </row>
    <row r="38" spans="1:18" x14ac:dyDescent="0.25">
      <c r="C38" s="1"/>
    </row>
    <row r="39" spans="1:18" x14ac:dyDescent="0.25">
      <c r="C39" s="1"/>
    </row>
    <row r="40" spans="1:18" x14ac:dyDescent="0.25">
      <c r="C40" s="1"/>
    </row>
    <row r="41" spans="1:18" x14ac:dyDescent="0.25">
      <c r="C41" s="1"/>
    </row>
    <row r="42" spans="1:18" x14ac:dyDescent="0.25">
      <c r="C42" s="1"/>
    </row>
    <row r="43" spans="1:18" x14ac:dyDescent="0.25">
      <c r="O43" s="9"/>
      <c r="P43" s="10"/>
    </row>
    <row r="44" spans="1:18" x14ac:dyDescent="0.25">
      <c r="P44" s="1"/>
    </row>
    <row r="45" spans="1:18" x14ac:dyDescent="0.25">
      <c r="O45" s="9"/>
      <c r="R45" s="7"/>
    </row>
    <row r="46" spans="1:18" x14ac:dyDescent="0.25">
      <c r="O46" s="9"/>
      <c r="P46" s="10"/>
    </row>
    <row r="47" spans="1:18" x14ac:dyDescent="0.25">
      <c r="P47" s="1"/>
    </row>
    <row r="48" spans="1:18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</sheetData>
  <mergeCells count="3">
    <mergeCell ref="B2:K2"/>
    <mergeCell ref="L2:L33"/>
    <mergeCell ref="AC2:AD2"/>
  </mergeCells>
  <conditionalFormatting sqref="K4:K33">
    <cfRule type="expression" dxfId="143" priority="4">
      <formula>K4=0</formula>
    </cfRule>
    <cfRule type="expression" dxfId="142" priority="5">
      <formula>K4&gt;J4</formula>
    </cfRule>
    <cfRule type="expression" dxfId="141" priority="6">
      <formula>K4&lt;J4</formula>
    </cfRule>
    <cfRule type="expression" dxfId="140" priority="7">
      <formula>K4&gt;=J4</formula>
    </cfRule>
  </conditionalFormatting>
  <conditionalFormatting sqref="M5:M33">
    <cfRule type="expression" dxfId="139" priority="1">
      <formula>M4=M5</formula>
    </cfRule>
    <cfRule type="expression" dxfId="138" priority="2">
      <formula>M5&lt;M4</formula>
    </cfRule>
    <cfRule type="expression" dxfId="137" priority="3">
      <formula>M5&gt;M4</formula>
    </cfRule>
  </conditionalFormatting>
  <conditionalFormatting sqref="M23:M33">
    <cfRule type="expression" dxfId="136" priority="8">
      <formula>M23=0</formula>
    </cfRule>
    <cfRule type="expression" dxfId="135" priority="9">
      <formula>M23&gt;K23</formula>
    </cfRule>
    <cfRule type="expression" dxfId="134" priority="10">
      <formula>M23&lt;K23</formula>
    </cfRule>
    <cfRule type="expression" dxfId="133" priority="11">
      <formula>M23&gt;=K23</formula>
    </cfRule>
  </conditionalFormatting>
  <dataValidations count="2">
    <dataValidation type="list" allowBlank="1" showInputMessage="1" showErrorMessage="1" sqref="D37:D67 F37:F67" xr:uid="{00000000-0002-0000-0200-000000000000}">
      <formula1>$AD$4:$AD$8</formula1>
    </dataValidation>
    <dataValidation type="list" allowBlank="1" showInputMessage="1" showErrorMessage="1" sqref="R5:R33" xr:uid="{00000000-0002-0000-0200-000001000000}">
      <formula1>$AC$13:$AC$27</formula1>
    </dataValidation>
  </dataValidations>
  <pageMargins left="0.23622047244094491" right="0.23622047244094491" top="0.74803149606299213" bottom="0.74803149606299213" header="0.31496062992125984" footer="0.31496062992125984"/>
  <pageSetup paperSize="9" fitToWidth="5" fitToHeight="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theme="3" tint="0.39997558519241921"/>
  </sheetPr>
  <dimension ref="A1:S35"/>
  <sheetViews>
    <sheetView showZeros="0" zoomScale="70" zoomScaleNormal="70" workbookViewId="0">
      <selection activeCell="L34" sqref="K2:L34"/>
    </sheetView>
  </sheetViews>
  <sheetFormatPr baseColWidth="10" defaultRowHeight="13.8" x14ac:dyDescent="0.25"/>
  <cols>
    <col min="2" max="2" width="7.796875" customWidth="1"/>
    <col min="3" max="3" width="9.5" customWidth="1"/>
    <col min="4" max="4" width="11.19921875" customWidth="1"/>
    <col min="5" max="5" width="1.59765625" hidden="1" customWidth="1"/>
    <col min="8" max="8" width="11.19921875" hidden="1" customWidth="1"/>
    <col min="11" max="11" width="1.59765625" customWidth="1"/>
    <col min="14" max="14" width="5.296875" customWidth="1"/>
    <col min="16" max="16" width="5.3984375" customWidth="1"/>
    <col min="18" max="18" width="5.5" customWidth="1"/>
  </cols>
  <sheetData>
    <row r="1" spans="1:19" ht="14.4" thickBot="1" x14ac:dyDescent="0.3"/>
    <row r="2" spans="1:19" ht="15" thickTop="1" thickBot="1" x14ac:dyDescent="0.3">
      <c r="A2" s="456" t="s">
        <v>21</v>
      </c>
      <c r="B2" s="457"/>
      <c r="C2" s="457"/>
      <c r="D2" s="457"/>
      <c r="E2" s="457"/>
      <c r="F2" s="457"/>
      <c r="G2" s="457"/>
      <c r="H2" s="457"/>
      <c r="I2" s="457"/>
      <c r="J2" s="457"/>
      <c r="K2" s="461"/>
      <c r="L2" s="44">
        <v>0</v>
      </c>
    </row>
    <row r="3" spans="1:19" ht="15" thickTop="1" thickBot="1" x14ac:dyDescent="0.3">
      <c r="A3" s="18" t="s">
        <v>22</v>
      </c>
      <c r="B3" s="19" t="s">
        <v>23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45" t="s">
        <v>102</v>
      </c>
      <c r="J3" s="19" t="s">
        <v>30</v>
      </c>
      <c r="K3" s="462"/>
      <c r="L3" s="32" t="s">
        <v>67</v>
      </c>
    </row>
    <row r="4" spans="1:19" ht="15" thickTop="1" thickBot="1" x14ac:dyDescent="0.3">
      <c r="A4" s="13" t="s">
        <v>93</v>
      </c>
      <c r="B4" s="23">
        <v>44166</v>
      </c>
      <c r="C4" s="11"/>
      <c r="D4" s="11"/>
      <c r="E4" s="11">
        <f>D4-C4</f>
        <v>0</v>
      </c>
      <c r="F4" s="11"/>
      <c r="G4" s="11"/>
      <c r="H4" s="11">
        <v>0.35416666666666669</v>
      </c>
      <c r="I4" s="4">
        <v>0.35416666666666669</v>
      </c>
      <c r="J4" s="4">
        <f>E4+H4</f>
        <v>0.35416666666666669</v>
      </c>
      <c r="K4" s="462"/>
      <c r="L4" s="33"/>
      <c r="M4" t="s">
        <v>35</v>
      </c>
    </row>
    <row r="5" spans="1:19" ht="15" thickTop="1" thickBot="1" x14ac:dyDescent="0.3">
      <c r="A5" s="2" t="s">
        <v>94</v>
      </c>
      <c r="B5" s="22">
        <v>44167</v>
      </c>
      <c r="C5" s="3">
        <v>0.32291666666666669</v>
      </c>
      <c r="D5" s="3">
        <v>0.51041666666666663</v>
      </c>
      <c r="E5" s="3">
        <f t="shared" ref="E5:E25" si="0">D5-C5</f>
        <v>0.18749999999999994</v>
      </c>
      <c r="F5" s="3">
        <v>0.54166666666666663</v>
      </c>
      <c r="G5" s="3">
        <v>0.71875</v>
      </c>
      <c r="H5" s="3">
        <f>G5-F5</f>
        <v>0.17708333333333337</v>
      </c>
      <c r="I5" s="4">
        <v>0.35416666666666669</v>
      </c>
      <c r="J5" s="4">
        <f>E5+H5</f>
        <v>0.36458333333333331</v>
      </c>
      <c r="K5" s="462"/>
      <c r="L5" s="33">
        <f>L4+J5-I5</f>
        <v>1.041666666666663E-2</v>
      </c>
      <c r="M5" t="s">
        <v>41</v>
      </c>
      <c r="N5" t="s">
        <v>52</v>
      </c>
      <c r="O5" t="s">
        <v>105</v>
      </c>
      <c r="Q5" t="s">
        <v>104</v>
      </c>
      <c r="R5" t="s">
        <v>53</v>
      </c>
    </row>
    <row r="6" spans="1:19" ht="15" thickTop="1" thickBot="1" x14ac:dyDescent="0.3">
      <c r="A6" s="2" t="s">
        <v>95</v>
      </c>
      <c r="B6" s="22">
        <v>44168</v>
      </c>
      <c r="C6" s="3">
        <v>0.33333333333333331</v>
      </c>
      <c r="D6" s="3">
        <v>0.51041666666666663</v>
      </c>
      <c r="E6" s="3">
        <f t="shared" si="0"/>
        <v>0.17708333333333331</v>
      </c>
      <c r="F6" s="3">
        <v>0.54166666666666663</v>
      </c>
      <c r="G6" s="3">
        <v>0.71875</v>
      </c>
      <c r="H6" s="3">
        <f t="shared" ref="H6:H25" si="1">G6-F6</f>
        <v>0.17708333333333337</v>
      </c>
      <c r="I6" s="4">
        <v>0.35416666666666669</v>
      </c>
      <c r="J6" s="4">
        <f t="shared" ref="J6:J34" si="2">E6+H6</f>
        <v>0.35416666666666669</v>
      </c>
      <c r="K6" s="462"/>
      <c r="L6" s="33">
        <f t="shared" ref="L6:L21" si="3">L5+J6-I6</f>
        <v>1.041666666666663E-2</v>
      </c>
      <c r="M6" t="s">
        <v>41</v>
      </c>
      <c r="N6" t="s">
        <v>52</v>
      </c>
      <c r="O6" t="s">
        <v>104</v>
      </c>
      <c r="P6" t="s">
        <v>82</v>
      </c>
    </row>
    <row r="7" spans="1:19" ht="15.6" customHeight="1" thickTop="1" thickBot="1" x14ac:dyDescent="0.3">
      <c r="A7" s="2" t="s">
        <v>96</v>
      </c>
      <c r="B7" s="22">
        <v>44169</v>
      </c>
      <c r="C7" s="3">
        <v>0.3125</v>
      </c>
      <c r="D7" s="3">
        <v>0.51041666666666663</v>
      </c>
      <c r="E7" s="3">
        <f t="shared" si="0"/>
        <v>0.19791666666666663</v>
      </c>
      <c r="F7" s="3">
        <v>0.54166666666666663</v>
      </c>
      <c r="G7" s="3">
        <v>0.66666666666666663</v>
      </c>
      <c r="H7" s="3">
        <f t="shared" si="1"/>
        <v>0.125</v>
      </c>
      <c r="I7" s="4">
        <v>0.33333333333333331</v>
      </c>
      <c r="J7" s="4">
        <f t="shared" si="2"/>
        <v>0.32291666666666663</v>
      </c>
      <c r="K7" s="462"/>
      <c r="L7" s="33">
        <f t="shared" si="3"/>
        <v>0</v>
      </c>
      <c r="M7" t="s">
        <v>35</v>
      </c>
      <c r="N7" t="s">
        <v>54</v>
      </c>
      <c r="O7" t="s">
        <v>104</v>
      </c>
      <c r="P7" t="s">
        <v>111</v>
      </c>
      <c r="Q7" t="s">
        <v>106</v>
      </c>
      <c r="R7" t="s">
        <v>45</v>
      </c>
    </row>
    <row r="8" spans="1:19" s="52" customFormat="1" ht="4.2" customHeight="1" thickTop="1" thickBot="1" x14ac:dyDescent="0.3">
      <c r="A8" s="47" t="s">
        <v>97</v>
      </c>
      <c r="B8" s="48">
        <v>44170</v>
      </c>
      <c r="C8" s="49"/>
      <c r="D8" s="49"/>
      <c r="E8" s="49">
        <f t="shared" si="0"/>
        <v>0</v>
      </c>
      <c r="F8" s="49"/>
      <c r="G8" s="49"/>
      <c r="H8" s="49">
        <f t="shared" si="1"/>
        <v>0</v>
      </c>
      <c r="I8" s="50"/>
      <c r="J8" s="50">
        <f t="shared" si="2"/>
        <v>0</v>
      </c>
      <c r="K8" s="462"/>
      <c r="L8" s="51">
        <f t="shared" si="3"/>
        <v>0</v>
      </c>
    </row>
    <row r="9" spans="1:19" s="52" customFormat="1" ht="4.2" customHeight="1" thickTop="1" thickBot="1" x14ac:dyDescent="0.3">
      <c r="A9" s="47" t="s">
        <v>98</v>
      </c>
      <c r="B9" s="48">
        <v>44171</v>
      </c>
      <c r="C9" s="49"/>
      <c r="D9" s="49"/>
      <c r="E9" s="49">
        <f t="shared" si="0"/>
        <v>0</v>
      </c>
      <c r="F9" s="49"/>
      <c r="G9" s="49"/>
      <c r="H9" s="49">
        <f t="shared" si="1"/>
        <v>0</v>
      </c>
      <c r="I9" s="50"/>
      <c r="J9" s="50">
        <f t="shared" si="2"/>
        <v>0</v>
      </c>
      <c r="K9" s="462"/>
      <c r="L9" s="51">
        <f t="shared" si="3"/>
        <v>0</v>
      </c>
    </row>
    <row r="10" spans="1:19" ht="15" thickTop="1" thickBot="1" x14ac:dyDescent="0.3">
      <c r="A10" s="2" t="s">
        <v>99</v>
      </c>
      <c r="B10" s="22">
        <v>44172</v>
      </c>
      <c r="C10" s="3">
        <v>0.3125</v>
      </c>
      <c r="D10" s="3">
        <v>0.51041666666666663</v>
      </c>
      <c r="E10" s="3">
        <f t="shared" si="0"/>
        <v>0.19791666666666663</v>
      </c>
      <c r="F10" s="3">
        <v>0.54166666666666663</v>
      </c>
      <c r="G10" s="3">
        <v>0.71875</v>
      </c>
      <c r="H10" s="3">
        <f t="shared" si="1"/>
        <v>0.17708333333333337</v>
      </c>
      <c r="I10" s="4">
        <v>0.35416666666666669</v>
      </c>
      <c r="J10" s="4">
        <f t="shared" si="2"/>
        <v>0.375</v>
      </c>
      <c r="K10" s="462"/>
      <c r="L10" s="33">
        <f t="shared" si="3"/>
        <v>2.0833333333333315E-2</v>
      </c>
      <c r="M10" t="s">
        <v>107</v>
      </c>
      <c r="N10" t="s">
        <v>53</v>
      </c>
      <c r="O10" t="s">
        <v>108</v>
      </c>
      <c r="P10" t="s">
        <v>109</v>
      </c>
      <c r="R10">
        <v>4.5</v>
      </c>
      <c r="S10">
        <v>4</v>
      </c>
    </row>
    <row r="11" spans="1:19" ht="15" thickTop="1" thickBot="1" x14ac:dyDescent="0.3">
      <c r="A11" s="13" t="s">
        <v>93</v>
      </c>
      <c r="B11" s="23">
        <v>44173</v>
      </c>
      <c r="C11" s="11"/>
      <c r="D11" s="11"/>
      <c r="E11" s="11">
        <f t="shared" si="0"/>
        <v>0</v>
      </c>
      <c r="F11" s="11"/>
      <c r="G11" s="11">
        <v>0.35416666666666669</v>
      </c>
      <c r="H11" s="11">
        <f t="shared" si="1"/>
        <v>0.35416666666666669</v>
      </c>
      <c r="I11" s="4">
        <v>0.35416666666666669</v>
      </c>
      <c r="J11" s="12">
        <f t="shared" si="2"/>
        <v>0.35416666666666669</v>
      </c>
      <c r="K11" s="462"/>
      <c r="L11" s="33">
        <f t="shared" si="3"/>
        <v>2.0833333333333315E-2</v>
      </c>
      <c r="M11" t="s">
        <v>35</v>
      </c>
      <c r="N11" t="s">
        <v>110</v>
      </c>
    </row>
    <row r="12" spans="1:19" ht="15" thickTop="1" thickBot="1" x14ac:dyDescent="0.3">
      <c r="A12" s="2" t="s">
        <v>94</v>
      </c>
      <c r="B12" s="22">
        <v>44174</v>
      </c>
      <c r="C12" s="3">
        <v>0.32291666666666669</v>
      </c>
      <c r="D12" s="3">
        <v>0.51041666666666663</v>
      </c>
      <c r="E12" s="3">
        <f t="shared" si="0"/>
        <v>0.18749999999999994</v>
      </c>
      <c r="F12" s="3">
        <v>0.54166666666666663</v>
      </c>
      <c r="G12" s="3">
        <v>0.70833333333333337</v>
      </c>
      <c r="H12" s="3">
        <f t="shared" si="1"/>
        <v>0.16666666666666674</v>
      </c>
      <c r="I12" s="4">
        <v>0.35416666666666669</v>
      </c>
      <c r="J12" s="4">
        <f t="shared" si="2"/>
        <v>0.35416666666666669</v>
      </c>
      <c r="K12" s="462"/>
      <c r="L12" s="33">
        <f t="shared" si="3"/>
        <v>2.0833333333333315E-2</v>
      </c>
      <c r="M12" t="s">
        <v>41</v>
      </c>
      <c r="N12" t="s">
        <v>52</v>
      </c>
      <c r="O12" t="s">
        <v>104</v>
      </c>
      <c r="P12" t="s">
        <v>82</v>
      </c>
    </row>
    <row r="13" spans="1:19" ht="15" thickTop="1" thickBot="1" x14ac:dyDescent="0.3">
      <c r="A13" s="2" t="s">
        <v>95</v>
      </c>
      <c r="B13" s="22">
        <v>44175</v>
      </c>
      <c r="C13" s="3">
        <v>0.33333333333333331</v>
      </c>
      <c r="D13" s="3">
        <v>0.51041666666666663</v>
      </c>
      <c r="E13" s="3">
        <f t="shared" si="0"/>
        <v>0.17708333333333331</v>
      </c>
      <c r="F13" s="3">
        <v>0.54166666666666663</v>
      </c>
      <c r="G13" s="3">
        <v>0.71875</v>
      </c>
      <c r="H13" s="3">
        <f t="shared" si="1"/>
        <v>0.17708333333333337</v>
      </c>
      <c r="I13" s="4">
        <v>0.35416666666666669</v>
      </c>
      <c r="J13" s="4">
        <f t="shared" si="2"/>
        <v>0.35416666666666669</v>
      </c>
      <c r="K13" s="462"/>
      <c r="L13" s="33">
        <f t="shared" si="3"/>
        <v>2.0833333333333315E-2</v>
      </c>
      <c r="M13" t="s">
        <v>35</v>
      </c>
      <c r="N13" t="s">
        <v>52</v>
      </c>
      <c r="O13" t="s">
        <v>104</v>
      </c>
      <c r="P13" t="s">
        <v>82</v>
      </c>
    </row>
    <row r="14" spans="1:19" ht="15.6" customHeight="1" thickTop="1" thickBot="1" x14ac:dyDescent="0.3">
      <c r="A14" s="2" t="s">
        <v>96</v>
      </c>
      <c r="B14" s="22">
        <v>44176</v>
      </c>
      <c r="C14" s="3">
        <v>0.32291666666666669</v>
      </c>
      <c r="D14" s="3">
        <v>0.51041666666666663</v>
      </c>
      <c r="E14" s="3">
        <f t="shared" si="0"/>
        <v>0.18749999999999994</v>
      </c>
      <c r="F14" s="3">
        <v>0.54166666666666663</v>
      </c>
      <c r="G14" s="3">
        <v>0.6875</v>
      </c>
      <c r="H14" s="3">
        <f t="shared" si="1"/>
        <v>0.14583333333333337</v>
      </c>
      <c r="I14" s="4">
        <v>0.33333333333333331</v>
      </c>
      <c r="J14" s="4">
        <f t="shared" si="2"/>
        <v>0.33333333333333331</v>
      </c>
      <c r="K14" s="462"/>
      <c r="L14" s="33">
        <f t="shared" si="3"/>
        <v>2.0833333333333315E-2</v>
      </c>
      <c r="M14" t="s">
        <v>35</v>
      </c>
      <c r="N14" t="s">
        <v>52</v>
      </c>
      <c r="O14" t="s">
        <v>104</v>
      </c>
      <c r="P14" t="s">
        <v>55</v>
      </c>
    </row>
    <row r="15" spans="1:19" s="52" customFormat="1" ht="4.2" customHeight="1" thickTop="1" thickBot="1" x14ac:dyDescent="0.3">
      <c r="A15" s="47" t="s">
        <v>97</v>
      </c>
      <c r="B15" s="48">
        <v>44177</v>
      </c>
      <c r="C15" s="49"/>
      <c r="D15" s="49"/>
      <c r="E15" s="49">
        <f t="shared" si="0"/>
        <v>0</v>
      </c>
      <c r="F15" s="49"/>
      <c r="G15" s="49"/>
      <c r="H15" s="49">
        <f t="shared" si="1"/>
        <v>0</v>
      </c>
      <c r="I15" s="50"/>
      <c r="J15" s="50">
        <f t="shared" si="2"/>
        <v>0</v>
      </c>
      <c r="K15" s="462"/>
      <c r="L15" s="51">
        <f t="shared" si="3"/>
        <v>2.0833333333333315E-2</v>
      </c>
    </row>
    <row r="16" spans="1:19" s="52" customFormat="1" ht="4.2" customHeight="1" thickTop="1" thickBot="1" x14ac:dyDescent="0.3">
      <c r="A16" s="47" t="s">
        <v>98</v>
      </c>
      <c r="B16" s="48">
        <v>44178</v>
      </c>
      <c r="C16" s="49"/>
      <c r="D16" s="49"/>
      <c r="E16" s="49">
        <f t="shared" si="0"/>
        <v>0</v>
      </c>
      <c r="F16" s="49"/>
      <c r="G16" s="49"/>
      <c r="H16" s="49">
        <f t="shared" si="1"/>
        <v>0</v>
      </c>
      <c r="I16" s="50"/>
      <c r="J16" s="50">
        <f t="shared" si="2"/>
        <v>0</v>
      </c>
      <c r="K16" s="462"/>
      <c r="L16" s="51">
        <f t="shared" si="3"/>
        <v>2.0833333333333315E-2</v>
      </c>
    </row>
    <row r="17" spans="1:17" ht="15" thickTop="1" thickBot="1" x14ac:dyDescent="0.3">
      <c r="A17" s="2" t="s">
        <v>99</v>
      </c>
      <c r="B17" s="22">
        <v>44179</v>
      </c>
      <c r="C17" s="3">
        <v>0.33333333333333331</v>
      </c>
      <c r="D17" s="3">
        <v>0.51041666666666663</v>
      </c>
      <c r="E17" s="3">
        <f t="shared" si="0"/>
        <v>0.17708333333333331</v>
      </c>
      <c r="F17" s="3">
        <v>0.54166666666666663</v>
      </c>
      <c r="G17" s="3">
        <v>0.69791666666666663</v>
      </c>
      <c r="H17" s="3">
        <f t="shared" si="1"/>
        <v>0.15625</v>
      </c>
      <c r="I17" s="4">
        <v>0.35416666666666669</v>
      </c>
      <c r="J17" s="4">
        <f t="shared" si="2"/>
        <v>0.33333333333333331</v>
      </c>
      <c r="K17" s="462"/>
      <c r="L17" s="33">
        <f t="shared" si="3"/>
        <v>0</v>
      </c>
      <c r="M17" t="s">
        <v>35</v>
      </c>
      <c r="N17" t="s">
        <v>109</v>
      </c>
      <c r="O17" t="s">
        <v>104</v>
      </c>
      <c r="P17" t="s">
        <v>111</v>
      </c>
    </row>
    <row r="18" spans="1:17" ht="15" thickTop="1" thickBot="1" x14ac:dyDescent="0.3">
      <c r="A18" s="13" t="s">
        <v>93</v>
      </c>
      <c r="B18" s="23">
        <v>44180</v>
      </c>
      <c r="C18" s="11"/>
      <c r="D18" s="11"/>
      <c r="E18" s="11">
        <f t="shared" si="0"/>
        <v>0</v>
      </c>
      <c r="F18" s="11"/>
      <c r="G18" s="11">
        <v>0.35416666666666669</v>
      </c>
      <c r="H18" s="11">
        <f t="shared" si="1"/>
        <v>0.35416666666666669</v>
      </c>
      <c r="I18" s="4">
        <v>0.35416666666666669</v>
      </c>
      <c r="J18" s="12">
        <f t="shared" si="2"/>
        <v>0.35416666666666669</v>
      </c>
      <c r="K18" s="462"/>
      <c r="L18" s="33">
        <f t="shared" si="3"/>
        <v>0</v>
      </c>
      <c r="M18" t="s">
        <v>35</v>
      </c>
      <c r="N18" t="s">
        <v>50</v>
      </c>
    </row>
    <row r="19" spans="1:17" ht="15" thickTop="1" thickBot="1" x14ac:dyDescent="0.3">
      <c r="A19" s="2" t="s">
        <v>94</v>
      </c>
      <c r="B19" s="22">
        <v>44181</v>
      </c>
      <c r="C19" s="3">
        <v>0.33333333333333331</v>
      </c>
      <c r="D19" s="3">
        <v>0.51041666666666663</v>
      </c>
      <c r="E19" s="3">
        <f t="shared" si="0"/>
        <v>0.17708333333333331</v>
      </c>
      <c r="F19" s="3">
        <v>0.54166666666666663</v>
      </c>
      <c r="G19" s="3">
        <v>0.71875</v>
      </c>
      <c r="H19" s="3">
        <f t="shared" si="1"/>
        <v>0.17708333333333337</v>
      </c>
      <c r="I19" s="4">
        <v>0.35416666666666669</v>
      </c>
      <c r="J19" s="4">
        <f t="shared" si="2"/>
        <v>0.35416666666666669</v>
      </c>
      <c r="K19" s="462"/>
      <c r="L19" s="33">
        <f t="shared" si="3"/>
        <v>0</v>
      </c>
      <c r="M19" t="s">
        <v>35</v>
      </c>
      <c r="N19" t="s">
        <v>52</v>
      </c>
      <c r="O19" t="s">
        <v>104</v>
      </c>
      <c r="P19" t="s">
        <v>82</v>
      </c>
      <c r="Q19" s="30"/>
    </row>
    <row r="20" spans="1:17" ht="15" thickTop="1" thickBot="1" x14ac:dyDescent="0.3">
      <c r="A20" s="2" t="s">
        <v>95</v>
      </c>
      <c r="B20" s="22">
        <v>44182</v>
      </c>
      <c r="C20" s="3">
        <v>0.32291666666666669</v>
      </c>
      <c r="D20" s="3">
        <v>0.51041666666666663</v>
      </c>
      <c r="E20" s="3">
        <f t="shared" si="0"/>
        <v>0.18749999999999994</v>
      </c>
      <c r="F20" s="3">
        <v>0.54166666666666663</v>
      </c>
      <c r="G20" s="3">
        <v>0.70833333333333337</v>
      </c>
      <c r="H20" s="3">
        <f t="shared" si="1"/>
        <v>0.16666666666666674</v>
      </c>
      <c r="I20" s="4">
        <v>0.35416666666666669</v>
      </c>
      <c r="J20" s="4">
        <f t="shared" si="2"/>
        <v>0.35416666666666669</v>
      </c>
      <c r="K20" s="462"/>
      <c r="L20" s="33">
        <f t="shared" si="3"/>
        <v>0</v>
      </c>
      <c r="M20" t="s">
        <v>35</v>
      </c>
      <c r="N20" t="s">
        <v>52</v>
      </c>
      <c r="O20" t="s">
        <v>104</v>
      </c>
      <c r="P20" t="s">
        <v>82</v>
      </c>
    </row>
    <row r="21" spans="1:17" ht="15.6" customHeight="1" thickTop="1" thickBot="1" x14ac:dyDescent="0.3">
      <c r="A21" s="2" t="s">
        <v>96</v>
      </c>
      <c r="B21" s="22">
        <v>44183</v>
      </c>
      <c r="C21" s="3">
        <v>0.32291666666666669</v>
      </c>
      <c r="D21" s="3">
        <v>0.51041666666666663</v>
      </c>
      <c r="E21" s="3">
        <f t="shared" si="0"/>
        <v>0.18749999999999994</v>
      </c>
      <c r="F21" s="3">
        <v>0.54166666666666663</v>
      </c>
      <c r="G21" s="3">
        <v>0.6875</v>
      </c>
      <c r="H21" s="3">
        <f t="shared" si="1"/>
        <v>0.14583333333333337</v>
      </c>
      <c r="I21" s="4">
        <v>0.33333333333333331</v>
      </c>
      <c r="J21" s="4">
        <f t="shared" si="2"/>
        <v>0.33333333333333331</v>
      </c>
      <c r="K21" s="462"/>
      <c r="L21" s="33">
        <f t="shared" si="3"/>
        <v>0</v>
      </c>
      <c r="M21" t="s">
        <v>35</v>
      </c>
      <c r="N21" t="s">
        <v>52</v>
      </c>
      <c r="O21" t="s">
        <v>104</v>
      </c>
      <c r="P21" t="s">
        <v>55</v>
      </c>
    </row>
    <row r="22" spans="1:17" s="52" customFormat="1" ht="4.2" customHeight="1" thickTop="1" thickBot="1" x14ac:dyDescent="0.3">
      <c r="A22" s="47" t="s">
        <v>97</v>
      </c>
      <c r="B22" s="48">
        <v>44184</v>
      </c>
      <c r="C22" s="49"/>
      <c r="D22" s="49"/>
      <c r="E22" s="49">
        <f t="shared" si="0"/>
        <v>0</v>
      </c>
      <c r="F22" s="49"/>
      <c r="G22" s="49"/>
      <c r="H22" s="49">
        <f t="shared" si="1"/>
        <v>0</v>
      </c>
      <c r="I22" s="50"/>
      <c r="J22" s="50">
        <f t="shared" si="2"/>
        <v>0</v>
      </c>
      <c r="K22" s="462"/>
      <c r="L22" s="51">
        <f>L21+J22-I22</f>
        <v>0</v>
      </c>
    </row>
    <row r="23" spans="1:17" s="52" customFormat="1" ht="4.2" customHeight="1" thickTop="1" thickBot="1" x14ac:dyDescent="0.3">
      <c r="A23" s="47" t="s">
        <v>98</v>
      </c>
      <c r="B23" s="48">
        <v>44185</v>
      </c>
      <c r="C23" s="49"/>
      <c r="D23" s="49"/>
      <c r="E23" s="49">
        <f t="shared" si="0"/>
        <v>0</v>
      </c>
      <c r="F23" s="49"/>
      <c r="G23" s="49"/>
      <c r="H23" s="49">
        <f t="shared" si="1"/>
        <v>0</v>
      </c>
      <c r="I23" s="50"/>
      <c r="J23" s="50">
        <f t="shared" si="2"/>
        <v>0</v>
      </c>
      <c r="K23" s="462"/>
      <c r="L23" s="51">
        <f>L22+J23-I23</f>
        <v>0</v>
      </c>
    </row>
    <row r="24" spans="1:17" ht="15" thickTop="1" thickBot="1" x14ac:dyDescent="0.3">
      <c r="A24" s="2" t="s">
        <v>99</v>
      </c>
      <c r="B24" s="22">
        <v>44186</v>
      </c>
      <c r="C24" s="3">
        <v>0.33333333333333331</v>
      </c>
      <c r="D24" s="3">
        <v>0.51041666666666663</v>
      </c>
      <c r="E24" s="3">
        <f t="shared" si="0"/>
        <v>0.17708333333333331</v>
      </c>
      <c r="F24" s="3">
        <v>0.54166666666666663</v>
      </c>
      <c r="G24" s="3">
        <v>0.71875</v>
      </c>
      <c r="H24" s="3">
        <f t="shared" si="1"/>
        <v>0.17708333333333337</v>
      </c>
      <c r="I24" s="4">
        <v>0.35416666666666669</v>
      </c>
      <c r="J24" s="4">
        <f t="shared" si="2"/>
        <v>0.35416666666666669</v>
      </c>
      <c r="K24" s="462"/>
      <c r="L24" s="33">
        <f>L23+J24-I24</f>
        <v>0</v>
      </c>
      <c r="M24" t="s">
        <v>35</v>
      </c>
      <c r="N24" t="s">
        <v>109</v>
      </c>
      <c r="O24" t="s">
        <v>104</v>
      </c>
      <c r="P24" t="s">
        <v>111</v>
      </c>
    </row>
    <row r="25" spans="1:17" ht="15" thickTop="1" thickBot="1" x14ac:dyDescent="0.3">
      <c r="A25" s="13" t="s">
        <v>93</v>
      </c>
      <c r="B25" s="23">
        <v>44187</v>
      </c>
      <c r="C25" s="54"/>
      <c r="D25" s="54"/>
      <c r="E25" s="54">
        <f t="shared" si="0"/>
        <v>0</v>
      </c>
      <c r="F25" s="54"/>
      <c r="G25" s="54">
        <v>0.35416666666666669</v>
      </c>
      <c r="H25" s="54">
        <f t="shared" si="1"/>
        <v>0.35416666666666669</v>
      </c>
      <c r="I25" s="46">
        <v>0.35416666666666669</v>
      </c>
      <c r="J25" s="4">
        <f t="shared" si="2"/>
        <v>0.35416666666666669</v>
      </c>
      <c r="K25" s="462"/>
      <c r="L25" s="33">
        <f>L24+J25-I25</f>
        <v>0</v>
      </c>
      <c r="M25" t="s">
        <v>35</v>
      </c>
      <c r="N25" t="s">
        <v>50</v>
      </c>
    </row>
    <row r="26" spans="1:17" ht="15" thickTop="1" thickBot="1" x14ac:dyDescent="0.3">
      <c r="A26" s="2" t="s">
        <v>94</v>
      </c>
      <c r="B26" s="22">
        <v>44188</v>
      </c>
      <c r="C26" s="464" t="s">
        <v>103</v>
      </c>
      <c r="D26" s="465"/>
      <c r="E26" s="465"/>
      <c r="F26" s="465"/>
      <c r="G26" s="465"/>
      <c r="H26" s="465"/>
      <c r="I26" s="466"/>
      <c r="J26" s="53"/>
      <c r="K26" s="462"/>
      <c r="L26" s="33"/>
    </row>
    <row r="27" spans="1:17" ht="15" thickTop="1" thickBot="1" x14ac:dyDescent="0.3">
      <c r="A27" s="2" t="s">
        <v>95</v>
      </c>
      <c r="B27" s="22">
        <v>44189</v>
      </c>
      <c r="C27" s="467"/>
      <c r="D27" s="468"/>
      <c r="E27" s="468"/>
      <c r="F27" s="468"/>
      <c r="G27" s="468"/>
      <c r="H27" s="468"/>
      <c r="I27" s="469"/>
      <c r="J27" s="53"/>
      <c r="K27" s="462"/>
      <c r="L27" s="33"/>
    </row>
    <row r="28" spans="1:17" ht="15.6" customHeight="1" thickTop="1" thickBot="1" x14ac:dyDescent="0.3">
      <c r="A28" s="2" t="s">
        <v>96</v>
      </c>
      <c r="B28" s="22">
        <v>44190</v>
      </c>
      <c r="C28" s="467"/>
      <c r="D28" s="468"/>
      <c r="E28" s="468"/>
      <c r="F28" s="468"/>
      <c r="G28" s="468"/>
      <c r="H28" s="468"/>
      <c r="I28" s="469"/>
      <c r="J28" s="53"/>
      <c r="K28" s="462"/>
      <c r="L28" s="33"/>
    </row>
    <row r="29" spans="1:17" ht="15.6" customHeight="1" thickTop="1" thickBot="1" x14ac:dyDescent="0.3">
      <c r="A29" s="2" t="s">
        <v>97</v>
      </c>
      <c r="B29" s="22">
        <v>44191</v>
      </c>
      <c r="C29" s="467"/>
      <c r="D29" s="468"/>
      <c r="E29" s="468"/>
      <c r="F29" s="468"/>
      <c r="G29" s="468"/>
      <c r="H29" s="468"/>
      <c r="I29" s="469"/>
      <c r="J29" s="53"/>
      <c r="K29" s="462"/>
      <c r="L29" s="33"/>
    </row>
    <row r="30" spans="1:17" ht="15" thickTop="1" thickBot="1" x14ac:dyDescent="0.3">
      <c r="A30" s="2" t="s">
        <v>98</v>
      </c>
      <c r="B30" s="22">
        <v>44192</v>
      </c>
      <c r="C30" s="467"/>
      <c r="D30" s="468"/>
      <c r="E30" s="468"/>
      <c r="F30" s="468"/>
      <c r="G30" s="468"/>
      <c r="H30" s="468"/>
      <c r="I30" s="469"/>
      <c r="J30" s="53"/>
      <c r="K30" s="462"/>
      <c r="L30" s="33"/>
    </row>
    <row r="31" spans="1:17" ht="15" thickTop="1" thickBot="1" x14ac:dyDescent="0.3">
      <c r="A31" s="2" t="s">
        <v>99</v>
      </c>
      <c r="B31" s="22">
        <v>44193</v>
      </c>
      <c r="C31" s="467"/>
      <c r="D31" s="468"/>
      <c r="E31" s="468"/>
      <c r="F31" s="468"/>
      <c r="G31" s="468"/>
      <c r="H31" s="468"/>
      <c r="I31" s="469"/>
      <c r="J31" s="53"/>
      <c r="K31" s="462"/>
      <c r="L31" s="33"/>
    </row>
    <row r="32" spans="1:17" ht="15" thickTop="1" thickBot="1" x14ac:dyDescent="0.3">
      <c r="A32" s="2" t="s">
        <v>93</v>
      </c>
      <c r="B32" s="22">
        <v>44194</v>
      </c>
      <c r="C32" s="467"/>
      <c r="D32" s="468"/>
      <c r="E32" s="468"/>
      <c r="F32" s="468"/>
      <c r="G32" s="468"/>
      <c r="H32" s="468"/>
      <c r="I32" s="469"/>
      <c r="J32" s="53"/>
      <c r="K32" s="462"/>
      <c r="L32" s="33"/>
    </row>
    <row r="33" spans="1:12" ht="15" thickTop="1" thickBot="1" x14ac:dyDescent="0.3">
      <c r="A33" s="2" t="s">
        <v>94</v>
      </c>
      <c r="B33" s="22">
        <v>44195</v>
      </c>
      <c r="C33" s="467"/>
      <c r="D33" s="468"/>
      <c r="E33" s="468"/>
      <c r="F33" s="468"/>
      <c r="G33" s="468"/>
      <c r="H33" s="468"/>
      <c r="I33" s="469"/>
      <c r="J33" s="53"/>
      <c r="K33" s="462"/>
      <c r="L33" s="33"/>
    </row>
    <row r="34" spans="1:12" ht="15" thickTop="1" thickBot="1" x14ac:dyDescent="0.3">
      <c r="A34" s="2" t="s">
        <v>95</v>
      </c>
      <c r="B34" s="22">
        <v>44196</v>
      </c>
      <c r="C34" s="470"/>
      <c r="D34" s="471"/>
      <c r="E34" s="471"/>
      <c r="F34" s="471"/>
      <c r="G34" s="471"/>
      <c r="H34" s="471"/>
      <c r="I34" s="472"/>
      <c r="J34" s="53">
        <f t="shared" si="2"/>
        <v>0</v>
      </c>
      <c r="K34" s="463"/>
      <c r="L34" s="33"/>
    </row>
    <row r="35" spans="1:12" ht="14.4" thickTop="1" x14ac:dyDescent="0.25">
      <c r="I35" s="55"/>
    </row>
  </sheetData>
  <mergeCells count="3">
    <mergeCell ref="A2:J2"/>
    <mergeCell ref="K2:K34"/>
    <mergeCell ref="C26:I34"/>
  </mergeCells>
  <conditionalFormatting sqref="J4:J34">
    <cfRule type="expression" dxfId="132" priority="4">
      <formula>J4=0</formula>
    </cfRule>
    <cfRule type="expression" dxfId="131" priority="5">
      <formula>J4&gt;I4</formula>
    </cfRule>
    <cfRule type="expression" dxfId="130" priority="6">
      <formula>J4&lt;I4</formula>
    </cfRule>
    <cfRule type="expression" dxfId="129" priority="7">
      <formula>J4&gt;=I4</formula>
    </cfRule>
  </conditionalFormatting>
  <conditionalFormatting sqref="L5:L34">
    <cfRule type="expression" dxfId="128" priority="1">
      <formula>L4=L5</formula>
    </cfRule>
    <cfRule type="expression" dxfId="127" priority="2">
      <formula>L5&lt;L4</formula>
    </cfRule>
    <cfRule type="expression" dxfId="126" priority="3">
      <formula>L5&gt;L4</formula>
    </cfRule>
  </conditionalFormatting>
  <conditionalFormatting sqref="L23:L34">
    <cfRule type="expression" dxfId="125" priority="8">
      <formula>L23=0</formula>
    </cfRule>
    <cfRule type="expression" dxfId="124" priority="9">
      <formula>L23&gt;J23</formula>
    </cfRule>
    <cfRule type="expression" dxfId="123" priority="10">
      <formula>L23&lt;J23</formula>
    </cfRule>
    <cfRule type="expression" dxfId="122" priority="11">
      <formula>L23&gt;=J23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theme="3" tint="-0.249977111117893"/>
  </sheetPr>
  <dimension ref="A1:P34"/>
  <sheetViews>
    <sheetView topLeftCell="CM3" zoomScale="115" zoomScaleNormal="115" workbookViewId="0">
      <selection activeCell="L41" sqref="L41"/>
    </sheetView>
  </sheetViews>
  <sheetFormatPr baseColWidth="10" defaultRowHeight="13.8" x14ac:dyDescent="0.25"/>
  <cols>
    <col min="2" max="2" width="7.296875" customWidth="1"/>
    <col min="4" max="4" width="11.3984375" customWidth="1"/>
    <col min="5" max="5" width="6" hidden="1" customWidth="1"/>
    <col min="7" max="7" width="11.19921875" customWidth="1"/>
    <col min="8" max="8" width="4.59765625" hidden="1" customWidth="1"/>
    <col min="10" max="10" width="11.19921875" customWidth="1"/>
    <col min="11" max="11" width="11.19921875" hidden="1" customWidth="1"/>
  </cols>
  <sheetData>
    <row r="1" spans="1:16" ht="15" thickTop="1" thickBot="1" x14ac:dyDescent="0.3">
      <c r="A1" s="456" t="s">
        <v>21</v>
      </c>
      <c r="B1" s="457"/>
      <c r="C1" s="457"/>
      <c r="D1" s="457"/>
      <c r="E1" s="457"/>
      <c r="F1" s="457"/>
      <c r="G1" s="457"/>
      <c r="H1" s="457"/>
      <c r="I1" s="457"/>
      <c r="J1" s="457"/>
      <c r="K1" s="458"/>
      <c r="L1" s="31"/>
    </row>
    <row r="2" spans="1:16" ht="15" thickTop="1" thickBot="1" x14ac:dyDescent="0.3">
      <c r="A2" s="18" t="s">
        <v>22</v>
      </c>
      <c r="B2" s="19" t="s">
        <v>23</v>
      </c>
      <c r="C2" s="19" t="s">
        <v>24</v>
      </c>
      <c r="D2" s="19" t="s">
        <v>25</v>
      </c>
      <c r="F2" s="19" t="s">
        <v>27</v>
      </c>
      <c r="G2" s="19" t="s">
        <v>28</v>
      </c>
      <c r="H2" s="19" t="s">
        <v>29</v>
      </c>
      <c r="I2" s="20" t="s">
        <v>20</v>
      </c>
      <c r="J2" s="19" t="s">
        <v>30</v>
      </c>
      <c r="K2" s="459"/>
      <c r="L2" s="32" t="s">
        <v>67</v>
      </c>
    </row>
    <row r="3" spans="1:16" ht="15" thickTop="1" thickBot="1" x14ac:dyDescent="0.3">
      <c r="A3" s="2" t="s">
        <v>14</v>
      </c>
      <c r="B3" s="22">
        <v>44197</v>
      </c>
      <c r="C3" s="3"/>
      <c r="D3" s="3"/>
      <c r="E3" s="58">
        <f>D3-C3</f>
        <v>0</v>
      </c>
      <c r="F3" s="3"/>
      <c r="G3" s="3"/>
      <c r="H3" s="3">
        <f>G3-F3</f>
        <v>0</v>
      </c>
      <c r="I3" s="28">
        <v>0.33333333333333331</v>
      </c>
      <c r="J3" s="28">
        <f>E4+H4</f>
        <v>0</v>
      </c>
      <c r="K3" s="459"/>
      <c r="L3" s="33"/>
      <c r="N3" s="22">
        <v>44105</v>
      </c>
    </row>
    <row r="4" spans="1:16" ht="1.95" customHeight="1" thickTop="1" thickBot="1" x14ac:dyDescent="0.3">
      <c r="A4" s="2" t="s">
        <v>15</v>
      </c>
      <c r="B4" s="22">
        <v>44198</v>
      </c>
      <c r="C4" s="3"/>
      <c r="D4" s="3"/>
      <c r="E4" s="58">
        <f t="shared" ref="E4:E33" si="0">D4-C4</f>
        <v>0</v>
      </c>
      <c r="F4" s="3"/>
      <c r="G4" s="3"/>
      <c r="H4" s="3">
        <f t="shared" ref="H4:H31" si="1">G4-F4</f>
        <v>0</v>
      </c>
      <c r="I4" s="28"/>
      <c r="J4" s="28"/>
      <c r="K4" s="459"/>
      <c r="L4" s="34"/>
      <c r="M4" s="30"/>
      <c r="N4" s="22">
        <v>44106</v>
      </c>
    </row>
    <row r="5" spans="1:16" ht="1.95" customHeight="1" thickTop="1" thickBot="1" x14ac:dyDescent="0.3">
      <c r="A5" s="2" t="s">
        <v>16</v>
      </c>
      <c r="B5" s="22">
        <v>44199</v>
      </c>
      <c r="C5" s="3"/>
      <c r="D5" s="3"/>
      <c r="E5" s="58">
        <f t="shared" si="0"/>
        <v>0</v>
      </c>
      <c r="F5" s="3"/>
      <c r="G5" s="3"/>
      <c r="H5" s="3">
        <f t="shared" si="1"/>
        <v>0</v>
      </c>
      <c r="I5" s="28"/>
      <c r="J5" s="28"/>
      <c r="K5" s="459"/>
      <c r="L5" s="34"/>
      <c r="M5" s="30"/>
      <c r="N5" s="22">
        <v>44107</v>
      </c>
    </row>
    <row r="6" spans="1:16" ht="15" thickTop="1" thickBot="1" x14ac:dyDescent="0.3">
      <c r="A6" s="2" t="s">
        <v>17</v>
      </c>
      <c r="B6" s="22">
        <v>44200</v>
      </c>
      <c r="C6" s="3"/>
      <c r="D6" s="3"/>
      <c r="E6" s="58">
        <f t="shared" si="0"/>
        <v>0</v>
      </c>
      <c r="F6" s="3"/>
      <c r="G6" s="3"/>
      <c r="H6" s="3">
        <f t="shared" si="1"/>
        <v>0</v>
      </c>
      <c r="I6" s="28">
        <v>0.35416666666666669</v>
      </c>
      <c r="J6" s="28">
        <f>E6+H7</f>
        <v>0</v>
      </c>
      <c r="K6" s="459"/>
      <c r="L6" s="34"/>
      <c r="M6" s="30"/>
      <c r="N6" s="22">
        <v>44108</v>
      </c>
    </row>
    <row r="7" spans="1:16" ht="15" thickTop="1" thickBot="1" x14ac:dyDescent="0.3">
      <c r="A7" s="13" t="s">
        <v>18</v>
      </c>
      <c r="B7" s="22">
        <v>44201</v>
      </c>
      <c r="C7" s="3"/>
      <c r="D7" s="3"/>
      <c r="E7" s="58">
        <f t="shared" si="0"/>
        <v>0</v>
      </c>
      <c r="F7" s="3"/>
      <c r="G7" s="3"/>
      <c r="H7" s="3">
        <f t="shared" si="1"/>
        <v>0</v>
      </c>
      <c r="I7" s="38">
        <v>0.35416666666666669</v>
      </c>
      <c r="J7" s="29">
        <f>E7+H8</f>
        <v>0</v>
      </c>
      <c r="K7" s="459"/>
      <c r="L7" s="34"/>
      <c r="M7" s="30"/>
      <c r="N7" s="22">
        <v>44109</v>
      </c>
    </row>
    <row r="8" spans="1:16" ht="15" thickTop="1" thickBot="1" x14ac:dyDescent="0.3">
      <c r="A8" s="2" t="s">
        <v>19</v>
      </c>
      <c r="B8" s="22">
        <v>44202</v>
      </c>
      <c r="C8" s="37"/>
      <c r="D8" s="37"/>
      <c r="E8" s="58">
        <f t="shared" si="0"/>
        <v>0</v>
      </c>
      <c r="F8" s="37"/>
      <c r="G8" s="37"/>
      <c r="H8" s="3">
        <f t="shared" si="1"/>
        <v>0</v>
      </c>
      <c r="I8" s="38">
        <v>0.35416666666666669</v>
      </c>
      <c r="J8" s="28">
        <f>E8+H9</f>
        <v>0</v>
      </c>
      <c r="K8" s="459"/>
      <c r="L8" s="34"/>
      <c r="M8" s="30"/>
      <c r="N8" s="23">
        <v>44110</v>
      </c>
    </row>
    <row r="9" spans="1:16" ht="15" thickTop="1" thickBot="1" x14ac:dyDescent="0.3">
      <c r="A9" s="2" t="s">
        <v>13</v>
      </c>
      <c r="B9" s="22">
        <v>44203</v>
      </c>
      <c r="C9" s="37"/>
      <c r="D9" s="37"/>
      <c r="E9" s="58">
        <f t="shared" si="0"/>
        <v>0</v>
      </c>
      <c r="F9" s="37"/>
      <c r="G9" s="37"/>
      <c r="H9" s="3">
        <f t="shared" si="1"/>
        <v>0</v>
      </c>
      <c r="I9" s="28">
        <v>0.35416666666666669</v>
      </c>
      <c r="J9" s="28">
        <f>E9+H10</f>
        <v>0</v>
      </c>
      <c r="K9" s="459"/>
      <c r="L9" s="34"/>
      <c r="M9" s="30"/>
      <c r="N9" s="22">
        <v>44111</v>
      </c>
    </row>
    <row r="10" spans="1:16" ht="15" thickTop="1" thickBot="1" x14ac:dyDescent="0.3">
      <c r="A10" s="2" t="s">
        <v>14</v>
      </c>
      <c r="B10" s="22">
        <v>44204</v>
      </c>
      <c r="C10" s="3"/>
      <c r="D10" s="3"/>
      <c r="E10" s="58">
        <f t="shared" si="0"/>
        <v>0</v>
      </c>
      <c r="F10" s="3"/>
      <c r="G10" s="3"/>
      <c r="H10" s="3">
        <f t="shared" si="1"/>
        <v>0</v>
      </c>
      <c r="I10" s="28">
        <v>0.33333333333333331</v>
      </c>
      <c r="J10" s="28">
        <f>E10+H11</f>
        <v>0</v>
      </c>
      <c r="K10" s="459"/>
      <c r="L10" s="34"/>
      <c r="M10" s="30"/>
      <c r="N10" s="22">
        <v>44112</v>
      </c>
    </row>
    <row r="11" spans="1:16" ht="1.95" customHeight="1" thickTop="1" thickBot="1" x14ac:dyDescent="0.3">
      <c r="A11" s="2" t="s">
        <v>15</v>
      </c>
      <c r="B11" s="22">
        <v>44205</v>
      </c>
      <c r="C11" s="3"/>
      <c r="D11" s="3"/>
      <c r="E11" s="58">
        <f t="shared" si="0"/>
        <v>0</v>
      </c>
      <c r="F11" s="3"/>
      <c r="G11" s="3"/>
      <c r="H11" s="3">
        <f t="shared" si="1"/>
        <v>0</v>
      </c>
      <c r="I11" s="28"/>
      <c r="J11" s="28"/>
      <c r="K11" s="459"/>
      <c r="L11" s="34"/>
      <c r="M11" s="30"/>
      <c r="N11" s="22">
        <v>44113</v>
      </c>
    </row>
    <row r="12" spans="1:16" ht="1.95" customHeight="1" thickTop="1" thickBot="1" x14ac:dyDescent="0.3">
      <c r="A12" s="2" t="s">
        <v>16</v>
      </c>
      <c r="B12" s="22">
        <v>44206</v>
      </c>
      <c r="C12" s="3"/>
      <c r="D12" s="3"/>
      <c r="E12" s="58">
        <f t="shared" si="0"/>
        <v>0</v>
      </c>
      <c r="F12" s="3"/>
      <c r="G12" s="3"/>
      <c r="H12" s="3">
        <f t="shared" si="1"/>
        <v>0</v>
      </c>
      <c r="I12" s="28"/>
      <c r="J12" s="28"/>
      <c r="K12" s="459"/>
      <c r="L12" s="34"/>
      <c r="M12" s="30"/>
      <c r="N12" s="22">
        <v>44114</v>
      </c>
    </row>
    <row r="13" spans="1:16" ht="15" thickTop="1" thickBot="1" x14ac:dyDescent="0.3">
      <c r="A13" s="2" t="s">
        <v>17</v>
      </c>
      <c r="B13" s="22">
        <v>44207</v>
      </c>
      <c r="C13" s="3">
        <v>0.32291666666666669</v>
      </c>
      <c r="D13" s="3">
        <v>0.51041666666666663</v>
      </c>
      <c r="E13" s="58">
        <f t="shared" si="0"/>
        <v>0.18749999999999994</v>
      </c>
      <c r="F13" s="3">
        <v>0.54166666666666663</v>
      </c>
      <c r="G13" s="3">
        <v>0.70833333333333337</v>
      </c>
      <c r="H13" s="3">
        <f t="shared" si="1"/>
        <v>0.16666666666666674</v>
      </c>
      <c r="I13" s="28">
        <v>0.35416666666666669</v>
      </c>
      <c r="J13" s="28">
        <f>E13+H13</f>
        <v>0.35416666666666669</v>
      </c>
      <c r="K13" s="459"/>
      <c r="L13" s="34"/>
      <c r="M13" s="30"/>
      <c r="N13" s="22">
        <v>44115</v>
      </c>
      <c r="O13" t="s">
        <v>113</v>
      </c>
      <c r="P13" t="s">
        <v>114</v>
      </c>
    </row>
    <row r="14" spans="1:16" ht="15" thickTop="1" thickBot="1" x14ac:dyDescent="0.3">
      <c r="A14" s="13" t="s">
        <v>18</v>
      </c>
      <c r="B14" s="22">
        <v>44208</v>
      </c>
      <c r="C14" s="3"/>
      <c r="D14" s="3"/>
      <c r="E14" s="58">
        <f>D14-C14</f>
        <v>0</v>
      </c>
      <c r="F14" s="3"/>
      <c r="G14" s="3">
        <v>0.35416666666666669</v>
      </c>
      <c r="H14" s="3">
        <f>G14-F14</f>
        <v>0.35416666666666669</v>
      </c>
      <c r="I14" s="38">
        <v>0.35416666666666669</v>
      </c>
      <c r="J14" s="29">
        <f>E14+H14</f>
        <v>0.35416666666666669</v>
      </c>
      <c r="K14" s="459"/>
      <c r="L14" s="34"/>
      <c r="M14" s="30"/>
      <c r="N14" s="22">
        <v>44116</v>
      </c>
    </row>
    <row r="15" spans="1:16" ht="15" thickTop="1" thickBot="1" x14ac:dyDescent="0.3">
      <c r="A15" s="2" t="s">
        <v>19</v>
      </c>
      <c r="B15" s="22">
        <v>44209</v>
      </c>
      <c r="C15" s="37"/>
      <c r="D15" s="37"/>
      <c r="E15" s="58">
        <f t="shared" si="0"/>
        <v>0</v>
      </c>
      <c r="F15" s="37"/>
      <c r="G15" s="37">
        <v>0.35416666666666669</v>
      </c>
      <c r="H15" s="3">
        <f t="shared" si="1"/>
        <v>0.35416666666666669</v>
      </c>
      <c r="I15" s="38">
        <v>0.35416666666666669</v>
      </c>
      <c r="J15" s="28">
        <f>E15+H15</f>
        <v>0.35416666666666669</v>
      </c>
      <c r="K15" s="459"/>
      <c r="L15" s="34"/>
      <c r="M15" s="30"/>
      <c r="N15" s="23">
        <v>44117</v>
      </c>
    </row>
    <row r="16" spans="1:16" ht="15" thickTop="1" thickBot="1" x14ac:dyDescent="0.3">
      <c r="A16" s="2" t="s">
        <v>13</v>
      </c>
      <c r="B16" s="22">
        <v>44210</v>
      </c>
      <c r="C16" s="37"/>
      <c r="D16" s="37"/>
      <c r="E16" s="58">
        <f t="shared" si="0"/>
        <v>0</v>
      </c>
      <c r="F16" s="37"/>
      <c r="G16" s="37">
        <v>0.35416666666666669</v>
      </c>
      <c r="H16" s="3">
        <f t="shared" si="1"/>
        <v>0.35416666666666669</v>
      </c>
      <c r="I16" s="28">
        <v>0.35416666666666669</v>
      </c>
      <c r="J16" s="28">
        <f>E16+H16</f>
        <v>0.35416666666666669</v>
      </c>
      <c r="K16" s="459"/>
      <c r="L16" s="34"/>
      <c r="M16" s="30"/>
      <c r="N16" s="22">
        <v>44118</v>
      </c>
    </row>
    <row r="17" spans="1:16" ht="15" thickTop="1" thickBot="1" x14ac:dyDescent="0.3">
      <c r="A17" s="2" t="s">
        <v>14</v>
      </c>
      <c r="B17" s="22">
        <v>44211</v>
      </c>
      <c r="C17" s="3"/>
      <c r="D17" s="3"/>
      <c r="E17" s="58">
        <f t="shared" si="0"/>
        <v>0</v>
      </c>
      <c r="F17" s="3"/>
      <c r="G17" s="3">
        <v>0.33333333333333331</v>
      </c>
      <c r="H17" s="3">
        <f t="shared" si="1"/>
        <v>0.33333333333333331</v>
      </c>
      <c r="I17" s="28">
        <v>0.33333333333333331</v>
      </c>
      <c r="J17" s="28">
        <f>E17+H17</f>
        <v>0.33333333333333331</v>
      </c>
      <c r="K17" s="459"/>
      <c r="L17" s="34"/>
      <c r="M17" s="30"/>
      <c r="N17" s="22">
        <v>44119</v>
      </c>
    </row>
    <row r="18" spans="1:16" ht="1.95" customHeight="1" thickTop="1" thickBot="1" x14ac:dyDescent="0.3">
      <c r="A18" s="2" t="s">
        <v>15</v>
      </c>
      <c r="B18" s="22">
        <v>44212</v>
      </c>
      <c r="C18" s="3"/>
      <c r="D18" s="3"/>
      <c r="E18" s="58">
        <f t="shared" si="0"/>
        <v>0</v>
      </c>
      <c r="F18" s="3"/>
      <c r="G18" s="3"/>
      <c r="H18" s="3">
        <f t="shared" si="1"/>
        <v>0</v>
      </c>
      <c r="I18" s="28"/>
      <c r="J18" s="28"/>
      <c r="K18" s="459"/>
      <c r="L18" s="34"/>
      <c r="M18" s="30"/>
      <c r="N18" s="22">
        <v>44120</v>
      </c>
    </row>
    <row r="19" spans="1:16" ht="1.95" customHeight="1" thickTop="1" thickBot="1" x14ac:dyDescent="0.3">
      <c r="A19" s="2" t="s">
        <v>16</v>
      </c>
      <c r="B19" s="22">
        <v>44213</v>
      </c>
      <c r="C19" s="3"/>
      <c r="D19" s="3"/>
      <c r="E19" s="58">
        <f t="shared" si="0"/>
        <v>0</v>
      </c>
      <c r="F19" s="3"/>
      <c r="G19" s="3"/>
      <c r="H19" s="3">
        <f t="shared" si="1"/>
        <v>0</v>
      </c>
      <c r="I19" s="28"/>
      <c r="J19" s="28"/>
      <c r="K19" s="459"/>
      <c r="L19" s="34"/>
      <c r="M19" s="30"/>
      <c r="N19" s="22">
        <v>44121</v>
      </c>
    </row>
    <row r="20" spans="1:16" ht="15" thickTop="1" thickBot="1" x14ac:dyDescent="0.3">
      <c r="A20" s="2" t="s">
        <v>17</v>
      </c>
      <c r="B20" s="22">
        <v>44214</v>
      </c>
      <c r="C20" s="3">
        <v>0.33333333333333331</v>
      </c>
      <c r="D20" s="3">
        <v>0.51041666666666663</v>
      </c>
      <c r="E20" s="58">
        <f>D20-C20</f>
        <v>0.17708333333333331</v>
      </c>
      <c r="F20" s="3">
        <v>0.54166666666666663</v>
      </c>
      <c r="G20" s="3">
        <v>0.71875</v>
      </c>
      <c r="H20" s="3">
        <f>G20-F20</f>
        <v>0.17708333333333337</v>
      </c>
      <c r="I20" s="28">
        <v>0.35416666666666669</v>
      </c>
      <c r="J20" s="28">
        <f>E20+H20</f>
        <v>0.35416666666666669</v>
      </c>
      <c r="K20" s="459"/>
      <c r="L20" s="34"/>
      <c r="M20" s="30"/>
      <c r="N20" s="22">
        <v>44122</v>
      </c>
      <c r="O20" t="s">
        <v>113</v>
      </c>
      <c r="P20" t="s">
        <v>114</v>
      </c>
    </row>
    <row r="21" spans="1:16" ht="15" thickTop="1" thickBot="1" x14ac:dyDescent="0.3">
      <c r="A21" s="2" t="s">
        <v>18</v>
      </c>
      <c r="B21" s="22">
        <v>44215</v>
      </c>
      <c r="C21" s="3"/>
      <c r="D21" s="3"/>
      <c r="E21" s="58">
        <f t="shared" si="0"/>
        <v>0</v>
      </c>
      <c r="F21" s="3"/>
      <c r="G21" s="3"/>
      <c r="H21" s="3">
        <f t="shared" si="1"/>
        <v>0</v>
      </c>
      <c r="I21" s="28">
        <v>0.35416666666666669</v>
      </c>
      <c r="J21" s="29">
        <f>E21+H21</f>
        <v>0</v>
      </c>
      <c r="K21" s="459"/>
      <c r="L21" s="34"/>
      <c r="M21" s="30"/>
      <c r="N21" s="22">
        <v>44123</v>
      </c>
    </row>
    <row r="22" spans="1:16" ht="15" thickTop="1" thickBot="1" x14ac:dyDescent="0.3">
      <c r="A22" s="2" t="s">
        <v>19</v>
      </c>
      <c r="B22" s="22">
        <v>44216</v>
      </c>
      <c r="C22" s="3"/>
      <c r="D22" s="3"/>
      <c r="E22" s="58">
        <f t="shared" si="0"/>
        <v>0</v>
      </c>
      <c r="F22" s="3"/>
      <c r="G22" s="3"/>
      <c r="H22" s="3">
        <f t="shared" si="1"/>
        <v>0</v>
      </c>
      <c r="I22" s="28">
        <v>0.35416666666666669</v>
      </c>
      <c r="J22" s="28">
        <f>E22+H22</f>
        <v>0</v>
      </c>
      <c r="K22" s="459"/>
      <c r="L22" s="34"/>
      <c r="M22" s="30"/>
      <c r="N22" s="22">
        <v>44124</v>
      </c>
    </row>
    <row r="23" spans="1:16" ht="15" thickTop="1" thickBot="1" x14ac:dyDescent="0.3">
      <c r="A23" s="2" t="s">
        <v>13</v>
      </c>
      <c r="B23" s="22">
        <v>44217</v>
      </c>
      <c r="C23" s="3"/>
      <c r="D23" s="3"/>
      <c r="E23" s="58">
        <f t="shared" si="0"/>
        <v>0</v>
      </c>
      <c r="F23" s="3"/>
      <c r="G23" s="3"/>
      <c r="H23" s="3">
        <f t="shared" si="1"/>
        <v>0</v>
      </c>
      <c r="I23" s="28">
        <v>0.35416666666666669</v>
      </c>
      <c r="J23" s="28">
        <f>E23+H23</f>
        <v>0</v>
      </c>
      <c r="K23" s="459"/>
      <c r="L23" s="34"/>
      <c r="M23" s="30"/>
      <c r="N23" s="22">
        <v>44125</v>
      </c>
    </row>
    <row r="24" spans="1:16" ht="15" thickTop="1" thickBot="1" x14ac:dyDescent="0.3">
      <c r="A24" s="2" t="s">
        <v>14</v>
      </c>
      <c r="B24" s="22">
        <v>44218</v>
      </c>
      <c r="C24" s="3">
        <v>0.34375</v>
      </c>
      <c r="D24" s="3">
        <v>0.51041666666666663</v>
      </c>
      <c r="E24" s="58">
        <f t="shared" si="0"/>
        <v>0.16666666666666663</v>
      </c>
      <c r="F24" s="3">
        <v>0.54166666666666663</v>
      </c>
      <c r="G24" s="3">
        <v>0.71875</v>
      </c>
      <c r="H24" s="3">
        <f t="shared" si="1"/>
        <v>0.17708333333333337</v>
      </c>
      <c r="I24" s="28">
        <v>0.33333333333333331</v>
      </c>
      <c r="J24" s="28">
        <f>E24+H24</f>
        <v>0.34375</v>
      </c>
      <c r="K24" s="459"/>
      <c r="L24" s="34"/>
      <c r="M24" s="30"/>
      <c r="N24" s="22">
        <v>44126</v>
      </c>
      <c r="P24" t="s">
        <v>114</v>
      </c>
    </row>
    <row r="25" spans="1:16" ht="1.95" customHeight="1" thickTop="1" thickBot="1" x14ac:dyDescent="0.3">
      <c r="A25" s="2" t="s">
        <v>15</v>
      </c>
      <c r="B25" s="22">
        <v>44219</v>
      </c>
      <c r="C25" s="3"/>
      <c r="D25" s="3"/>
      <c r="E25" s="58">
        <f t="shared" si="0"/>
        <v>0</v>
      </c>
      <c r="F25" s="3"/>
      <c r="G25" s="3"/>
      <c r="H25" s="3">
        <f t="shared" si="1"/>
        <v>0</v>
      </c>
      <c r="I25" s="28"/>
      <c r="J25" s="28"/>
      <c r="K25" s="459"/>
      <c r="L25" s="34"/>
      <c r="M25" s="30"/>
      <c r="N25" s="22">
        <v>44127</v>
      </c>
    </row>
    <row r="26" spans="1:16" ht="1.95" customHeight="1" thickTop="1" thickBot="1" x14ac:dyDescent="0.3">
      <c r="A26" s="2" t="s">
        <v>16</v>
      </c>
      <c r="B26" s="22">
        <v>44220</v>
      </c>
      <c r="C26" s="3"/>
      <c r="D26" s="3"/>
      <c r="E26" s="58">
        <f t="shared" si="0"/>
        <v>0</v>
      </c>
      <c r="F26" s="3"/>
      <c r="G26" s="3"/>
      <c r="H26" s="3">
        <f t="shared" si="1"/>
        <v>0</v>
      </c>
      <c r="I26" s="28"/>
      <c r="J26" s="28"/>
      <c r="K26" s="459"/>
      <c r="L26" s="34"/>
      <c r="M26" s="30"/>
      <c r="N26" s="22">
        <v>44128</v>
      </c>
    </row>
    <row r="27" spans="1:16" ht="15" thickTop="1" thickBot="1" x14ac:dyDescent="0.3">
      <c r="A27" s="2" t="s">
        <v>17</v>
      </c>
      <c r="B27" s="22">
        <v>44221</v>
      </c>
      <c r="C27" s="3">
        <v>0.33333333333333331</v>
      </c>
      <c r="D27" s="3">
        <v>0.51041666666666663</v>
      </c>
      <c r="E27" s="58">
        <f t="shared" si="0"/>
        <v>0.17708333333333331</v>
      </c>
      <c r="F27" s="3">
        <v>0.54166666666666663</v>
      </c>
      <c r="G27" s="3">
        <v>0.69791666666666663</v>
      </c>
      <c r="H27" s="3">
        <f>G27-F27</f>
        <v>0.15625</v>
      </c>
      <c r="I27" s="28">
        <v>0.35416666666666669</v>
      </c>
      <c r="J27" s="28">
        <f>E27+H27</f>
        <v>0.33333333333333331</v>
      </c>
      <c r="K27" s="459"/>
      <c r="L27" s="34"/>
      <c r="M27" s="30"/>
      <c r="N27" s="22">
        <v>44129</v>
      </c>
      <c r="O27" t="s">
        <v>113</v>
      </c>
      <c r="P27" t="s">
        <v>114</v>
      </c>
    </row>
    <row r="28" spans="1:16" ht="15" thickTop="1" thickBot="1" x14ac:dyDescent="0.3">
      <c r="A28" s="13" t="s">
        <v>18</v>
      </c>
      <c r="B28" s="22">
        <v>44222</v>
      </c>
      <c r="C28" s="3"/>
      <c r="D28" s="3"/>
      <c r="E28" s="58">
        <f t="shared" si="0"/>
        <v>0</v>
      </c>
      <c r="F28" s="3"/>
      <c r="G28" s="3"/>
      <c r="H28" s="3">
        <f>G28-F28</f>
        <v>0</v>
      </c>
      <c r="I28" s="38">
        <v>0.35416666666666669</v>
      </c>
      <c r="J28" s="28">
        <f>E28+H28</f>
        <v>0</v>
      </c>
      <c r="K28" s="459"/>
      <c r="L28" s="34"/>
      <c r="M28" s="30"/>
      <c r="N28" s="22">
        <v>44130</v>
      </c>
    </row>
    <row r="29" spans="1:16" ht="15" thickTop="1" thickBot="1" x14ac:dyDescent="0.3">
      <c r="A29" s="35" t="s">
        <v>19</v>
      </c>
      <c r="B29" s="22">
        <v>44223</v>
      </c>
      <c r="C29" s="37"/>
      <c r="D29" s="37"/>
      <c r="E29" s="58">
        <f t="shared" si="0"/>
        <v>0</v>
      </c>
      <c r="F29" s="37"/>
      <c r="G29" s="37"/>
      <c r="H29" s="3">
        <f t="shared" si="1"/>
        <v>0</v>
      </c>
      <c r="I29" s="38">
        <v>0.35416666666666669</v>
      </c>
      <c r="J29" s="29">
        <f>E29+H39</f>
        <v>0</v>
      </c>
      <c r="K29" s="459"/>
      <c r="L29" s="34"/>
      <c r="M29" s="30"/>
      <c r="N29" s="23">
        <v>44131</v>
      </c>
    </row>
    <row r="30" spans="1:16" ht="15" thickTop="1" thickBot="1" x14ac:dyDescent="0.3">
      <c r="A30" s="2" t="s">
        <v>13</v>
      </c>
      <c r="B30" s="22">
        <v>44224</v>
      </c>
      <c r="C30" s="37"/>
      <c r="D30" s="37"/>
      <c r="E30" s="58">
        <f t="shared" si="0"/>
        <v>0</v>
      </c>
      <c r="F30" s="37"/>
      <c r="G30" s="37"/>
      <c r="H30" s="3">
        <f t="shared" si="1"/>
        <v>0</v>
      </c>
      <c r="I30" s="28">
        <v>0.35416666666666669</v>
      </c>
      <c r="J30" s="28">
        <f>E30+H30</f>
        <v>0</v>
      </c>
      <c r="K30" s="459"/>
      <c r="L30" s="34"/>
      <c r="M30" s="30"/>
      <c r="N30" s="36">
        <v>44132</v>
      </c>
    </row>
    <row r="31" spans="1:16" ht="15" thickTop="1" thickBot="1" x14ac:dyDescent="0.3">
      <c r="A31" s="2" t="s">
        <v>14</v>
      </c>
      <c r="B31" s="22">
        <v>44225</v>
      </c>
      <c r="C31" s="3">
        <v>0.3125</v>
      </c>
      <c r="D31" s="3">
        <v>0.51041666666666663</v>
      </c>
      <c r="E31" s="58">
        <f t="shared" si="0"/>
        <v>0.19791666666666663</v>
      </c>
      <c r="F31" s="3">
        <v>0.54166666666666663</v>
      </c>
      <c r="G31" s="3">
        <v>0.67708333333333337</v>
      </c>
      <c r="H31" s="3">
        <f t="shared" si="1"/>
        <v>0.13541666666666674</v>
      </c>
      <c r="I31" s="28">
        <v>0.33333333333333331</v>
      </c>
      <c r="J31" s="28">
        <f>E31+H31</f>
        <v>0.33333333333333337</v>
      </c>
      <c r="K31" s="459"/>
      <c r="L31" s="34"/>
      <c r="M31" s="30"/>
      <c r="N31" s="22">
        <v>44133</v>
      </c>
      <c r="P31" t="s">
        <v>112</v>
      </c>
    </row>
    <row r="32" spans="1:16" ht="1.95" customHeight="1" thickTop="1" thickBot="1" x14ac:dyDescent="0.3">
      <c r="A32" s="56" t="s">
        <v>15</v>
      </c>
      <c r="B32" s="22">
        <v>44226</v>
      </c>
      <c r="C32" s="3"/>
      <c r="D32" s="3"/>
      <c r="E32" s="58">
        <f t="shared" si="0"/>
        <v>0</v>
      </c>
      <c r="F32" s="3"/>
      <c r="G32" s="3"/>
      <c r="H32" s="3">
        <f>G32-F32</f>
        <v>0</v>
      </c>
      <c r="I32" s="28">
        <v>0.375</v>
      </c>
      <c r="J32" s="28">
        <f>E33+H33</f>
        <v>0</v>
      </c>
      <c r="K32" s="459"/>
      <c r="L32" s="34">
        <f>L31+J31-I31</f>
        <v>0</v>
      </c>
      <c r="M32" s="30"/>
      <c r="N32" s="22">
        <v>44134</v>
      </c>
    </row>
    <row r="33" spans="1:12" ht="1.95" customHeight="1" thickTop="1" thickBot="1" x14ac:dyDescent="0.3">
      <c r="A33" s="57"/>
      <c r="B33" s="22">
        <v>44227</v>
      </c>
      <c r="C33" s="3"/>
      <c r="D33" s="3"/>
      <c r="E33" s="58">
        <f t="shared" si="0"/>
        <v>0</v>
      </c>
      <c r="F33" s="3"/>
      <c r="G33" s="3"/>
      <c r="H33" s="3">
        <f>G33-F33</f>
        <v>0</v>
      </c>
      <c r="K33" s="460"/>
      <c r="L33" s="34"/>
    </row>
    <row r="34" spans="1:12" ht="14.4" thickTop="1" x14ac:dyDescent="0.25"/>
  </sheetData>
  <mergeCells count="2">
    <mergeCell ref="A1:J1"/>
    <mergeCell ref="K1:K33"/>
  </mergeCells>
  <conditionalFormatting sqref="J3:J32">
    <cfRule type="expression" dxfId="121" priority="4">
      <formula>J3=0</formula>
    </cfRule>
    <cfRule type="expression" dxfId="120" priority="5">
      <formula>J3&gt;I3</formula>
    </cfRule>
    <cfRule type="expression" dxfId="119" priority="6">
      <formula>J3&lt;I3</formula>
    </cfRule>
    <cfRule type="expression" dxfId="118" priority="7">
      <formula>J3&gt;=I3</formula>
    </cfRule>
  </conditionalFormatting>
  <conditionalFormatting sqref="L4:L33">
    <cfRule type="expression" dxfId="117" priority="1">
      <formula>L3=L4</formula>
    </cfRule>
    <cfRule type="expression" dxfId="116" priority="2">
      <formula>L4&lt;L3</formula>
    </cfRule>
    <cfRule type="expression" dxfId="115" priority="3">
      <formula>L4&gt;L3</formula>
    </cfRule>
  </conditionalFormatting>
  <conditionalFormatting sqref="L22:L33">
    <cfRule type="expression" dxfId="114" priority="17">
      <formula>L22=0</formula>
    </cfRule>
    <cfRule type="expression" dxfId="113" priority="18">
      <formula>L22&gt;J21</formula>
    </cfRule>
    <cfRule type="expression" dxfId="112" priority="19">
      <formula>L22&lt;J21</formula>
    </cfRule>
    <cfRule type="expression" dxfId="111" priority="20">
      <formula>L22&gt;=J21</formula>
    </cfRule>
  </conditionalFormatting>
  <pageMargins left="0.7" right="0.7" top="0.75" bottom="0.75" header="0.3" footer="0.3"/>
  <pageSetup paperSize="9" orientation="portrait" r:id="rId1"/>
  <ignoredErrors>
    <ignoredError sqref="J2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theme="3" tint="-0.499984740745262"/>
  </sheetPr>
  <dimension ref="A1:V36"/>
  <sheetViews>
    <sheetView showZeros="0" topLeftCell="D5" zoomScale="130" zoomScaleNormal="130" workbookViewId="0">
      <selection activeCell="S35" sqref="S35"/>
    </sheetView>
  </sheetViews>
  <sheetFormatPr baseColWidth="10" defaultRowHeight="13.8" x14ac:dyDescent="0.25"/>
  <cols>
    <col min="2" max="2" width="7.296875" customWidth="1"/>
    <col min="4" max="4" width="11.3984375" customWidth="1"/>
    <col min="5" max="5" width="4.59765625" hidden="1" customWidth="1"/>
    <col min="7" max="7" width="11.19921875" customWidth="1"/>
    <col min="8" max="8" width="4.59765625" hidden="1" customWidth="1"/>
    <col min="9" max="9" width="11.19921875" hidden="1" customWidth="1"/>
    <col min="10" max="10" width="8" customWidth="1"/>
    <col min="11" max="11" width="11.19921875" hidden="1" customWidth="1"/>
    <col min="13" max="13" width="2.59765625" hidden="1" customWidth="1"/>
    <col min="14" max="14" width="6.8984375" customWidth="1"/>
    <col min="16" max="16" width="10.296875" customWidth="1"/>
  </cols>
  <sheetData>
    <row r="1" spans="1:18" ht="15" thickTop="1" thickBot="1" x14ac:dyDescent="0.3">
      <c r="A1" s="456" t="s">
        <v>21</v>
      </c>
      <c r="B1" s="457"/>
      <c r="C1" s="457"/>
      <c r="D1" s="457"/>
      <c r="E1" s="457"/>
      <c r="F1" s="457"/>
      <c r="G1" s="457"/>
      <c r="H1" s="457"/>
      <c r="I1" s="457"/>
      <c r="J1" s="457"/>
      <c r="K1" s="60"/>
      <c r="L1" s="31"/>
    </row>
    <row r="2" spans="1:18" ht="15" thickTop="1" thickBot="1" x14ac:dyDescent="0.3">
      <c r="A2" s="18" t="s">
        <v>22</v>
      </c>
      <c r="B2" s="19" t="s">
        <v>23</v>
      </c>
      <c r="C2" s="19" t="s">
        <v>24</v>
      </c>
      <c r="D2" s="19" t="s">
        <v>25</v>
      </c>
      <c r="F2" s="19" t="s">
        <v>27</v>
      </c>
      <c r="G2" s="19" t="s">
        <v>28</v>
      </c>
      <c r="H2" s="19" t="s">
        <v>29</v>
      </c>
      <c r="I2" s="20" t="s">
        <v>20</v>
      </c>
      <c r="J2" s="65" t="s">
        <v>30</v>
      </c>
      <c r="K2" s="61"/>
      <c r="L2" s="32" t="s">
        <v>67</v>
      </c>
    </row>
    <row r="3" spans="1:18" ht="14.4" customHeight="1" thickTop="1" thickBot="1" x14ac:dyDescent="0.3">
      <c r="A3" s="2" t="s">
        <v>99</v>
      </c>
      <c r="B3" s="22">
        <v>44228</v>
      </c>
      <c r="C3" s="3">
        <v>0.34375</v>
      </c>
      <c r="D3" s="3">
        <v>0.51041666666666663</v>
      </c>
      <c r="E3" s="58">
        <f>D3-C3</f>
        <v>0.16666666666666663</v>
      </c>
      <c r="F3" s="3">
        <v>0.54166666666666663</v>
      </c>
      <c r="G3" s="3">
        <v>0.72916666666666663</v>
      </c>
      <c r="H3" s="3">
        <f>G3-F3</f>
        <v>0.1875</v>
      </c>
      <c r="I3" s="28">
        <v>0.35416666666666669</v>
      </c>
      <c r="J3" s="66">
        <f>E3+H3</f>
        <v>0.35416666666666663</v>
      </c>
      <c r="K3" s="61"/>
      <c r="L3" s="33"/>
      <c r="N3" s="22">
        <v>44228</v>
      </c>
      <c r="O3" t="s">
        <v>35</v>
      </c>
      <c r="P3" t="s">
        <v>38</v>
      </c>
      <c r="Q3" t="s">
        <v>124</v>
      </c>
      <c r="R3" t="s">
        <v>40</v>
      </c>
    </row>
    <row r="4" spans="1:18" ht="14.4" customHeight="1" thickTop="1" thickBot="1" x14ac:dyDescent="0.3">
      <c r="A4" s="62" t="s">
        <v>93</v>
      </c>
      <c r="B4" s="22">
        <v>44229</v>
      </c>
      <c r="C4" s="63"/>
      <c r="D4" s="63"/>
      <c r="E4" s="64">
        <f t="shared" ref="E4:E29" si="0">D4-C4</f>
        <v>0</v>
      </c>
      <c r="F4" s="63"/>
      <c r="G4" s="63">
        <v>0.35416666666666669</v>
      </c>
      <c r="H4" s="3">
        <f t="shared" ref="H4:H29" si="1">G4-F4</f>
        <v>0.35416666666666669</v>
      </c>
      <c r="I4" s="28">
        <v>0.35416666666666669</v>
      </c>
      <c r="J4" s="66">
        <f t="shared" ref="J4:J28" si="2">E4+H4</f>
        <v>0.35416666666666669</v>
      </c>
      <c r="K4" s="61"/>
      <c r="L4" s="34"/>
      <c r="M4" s="30"/>
      <c r="N4" s="22">
        <v>44229</v>
      </c>
      <c r="O4" t="s">
        <v>35</v>
      </c>
      <c r="P4" t="s">
        <v>50</v>
      </c>
    </row>
    <row r="5" spans="1:18" ht="14.4" customHeight="1" thickTop="1" thickBot="1" x14ac:dyDescent="0.3">
      <c r="A5" s="2" t="s">
        <v>94</v>
      </c>
      <c r="B5" s="22">
        <v>44230</v>
      </c>
      <c r="C5" s="3"/>
      <c r="D5" s="3"/>
      <c r="E5" s="58">
        <f t="shared" si="0"/>
        <v>0</v>
      </c>
      <c r="F5" s="3"/>
      <c r="G5" s="3">
        <v>0.35416666666666669</v>
      </c>
      <c r="H5" s="3">
        <f t="shared" si="1"/>
        <v>0.35416666666666669</v>
      </c>
      <c r="I5" s="28">
        <v>0.35416666666666669</v>
      </c>
      <c r="J5" s="66">
        <f t="shared" si="2"/>
        <v>0.35416666666666669</v>
      </c>
      <c r="K5" s="61"/>
      <c r="L5" s="34"/>
      <c r="M5" s="30"/>
      <c r="N5" s="22">
        <v>44230</v>
      </c>
      <c r="O5" t="s">
        <v>35</v>
      </c>
      <c r="P5" t="s">
        <v>50</v>
      </c>
    </row>
    <row r="6" spans="1:18" ht="14.4" customHeight="1" thickTop="1" thickBot="1" x14ac:dyDescent="0.3">
      <c r="A6" s="2" t="s">
        <v>95</v>
      </c>
      <c r="B6" s="22">
        <v>44231</v>
      </c>
      <c r="C6" s="3"/>
      <c r="D6" s="3"/>
      <c r="E6" s="58">
        <f>D6-C6</f>
        <v>0</v>
      </c>
      <c r="F6" s="3"/>
      <c r="G6" s="3">
        <v>0.35416666666666669</v>
      </c>
      <c r="H6" s="3">
        <f t="shared" si="1"/>
        <v>0.35416666666666669</v>
      </c>
      <c r="I6" s="28">
        <v>0.35416666666666669</v>
      </c>
      <c r="J6" s="66">
        <f t="shared" si="2"/>
        <v>0.35416666666666669</v>
      </c>
      <c r="K6" s="61"/>
      <c r="L6" s="34"/>
      <c r="M6" s="30"/>
      <c r="N6" s="22">
        <v>44231</v>
      </c>
      <c r="O6" t="s">
        <v>35</v>
      </c>
      <c r="P6" t="s">
        <v>50</v>
      </c>
    </row>
    <row r="7" spans="1:18" ht="14.4" customHeight="1" thickTop="1" thickBot="1" x14ac:dyDescent="0.3">
      <c r="A7" s="2" t="s">
        <v>96</v>
      </c>
      <c r="B7" s="22">
        <v>44232</v>
      </c>
      <c r="C7" s="3">
        <v>0.33333333333333331</v>
      </c>
      <c r="D7" s="3">
        <v>0.51041666666666663</v>
      </c>
      <c r="E7" s="58">
        <f t="shared" si="0"/>
        <v>0.17708333333333331</v>
      </c>
      <c r="F7" s="3">
        <v>0.54166666666666663</v>
      </c>
      <c r="G7" s="3">
        <v>0.69791666666666663</v>
      </c>
      <c r="H7" s="3">
        <f t="shared" si="1"/>
        <v>0.15625</v>
      </c>
      <c r="I7" s="38">
        <v>0.33333333333333331</v>
      </c>
      <c r="J7" s="66">
        <f t="shared" si="2"/>
        <v>0.33333333333333331</v>
      </c>
      <c r="K7" s="61"/>
      <c r="L7" s="34"/>
      <c r="M7" s="30"/>
      <c r="N7" s="22">
        <v>44232</v>
      </c>
      <c r="O7" t="s">
        <v>35</v>
      </c>
      <c r="P7" t="s">
        <v>90</v>
      </c>
    </row>
    <row r="8" spans="1:18" ht="14.4" hidden="1" customHeight="1" thickTop="1" thickBot="1" x14ac:dyDescent="0.3">
      <c r="A8" s="2" t="s">
        <v>97</v>
      </c>
      <c r="B8" s="22">
        <v>44233</v>
      </c>
      <c r="C8" s="37"/>
      <c r="D8" s="37"/>
      <c r="E8" s="58">
        <f t="shared" si="0"/>
        <v>0</v>
      </c>
      <c r="F8" s="37"/>
      <c r="G8" s="37"/>
      <c r="H8" s="3">
        <f t="shared" si="1"/>
        <v>0</v>
      </c>
      <c r="I8" s="38"/>
      <c r="J8" s="66"/>
      <c r="K8" s="61"/>
      <c r="L8" s="34"/>
      <c r="M8" s="30"/>
      <c r="N8" s="22">
        <v>44233</v>
      </c>
    </row>
    <row r="9" spans="1:18" ht="14.4" hidden="1" customHeight="1" thickTop="1" thickBot="1" x14ac:dyDescent="0.3">
      <c r="A9" s="2" t="s">
        <v>98</v>
      </c>
      <c r="B9" s="22">
        <v>44234</v>
      </c>
      <c r="C9" s="37"/>
      <c r="D9" s="37"/>
      <c r="E9" s="58">
        <f t="shared" si="0"/>
        <v>0</v>
      </c>
      <c r="F9" s="37"/>
      <c r="G9" s="37"/>
      <c r="H9" s="3">
        <f t="shared" si="1"/>
        <v>0</v>
      </c>
      <c r="I9" s="28"/>
      <c r="J9" s="66"/>
      <c r="K9" s="61"/>
      <c r="L9" s="34"/>
      <c r="M9" s="30"/>
      <c r="N9" s="22">
        <v>44234</v>
      </c>
    </row>
    <row r="10" spans="1:18" ht="14.4" customHeight="1" thickTop="1" thickBot="1" x14ac:dyDescent="0.3">
      <c r="A10" s="2" t="s">
        <v>99</v>
      </c>
      <c r="B10" s="22">
        <v>44235</v>
      </c>
      <c r="C10" s="3">
        <v>0.33333333333333331</v>
      </c>
      <c r="D10" s="3">
        <v>0.51041666666666663</v>
      </c>
      <c r="E10" s="58">
        <f t="shared" si="0"/>
        <v>0.17708333333333331</v>
      </c>
      <c r="F10" s="3">
        <v>0.54166666666666663</v>
      </c>
      <c r="G10" s="3">
        <v>0.70833333333333337</v>
      </c>
      <c r="H10" s="3">
        <f t="shared" si="1"/>
        <v>0.16666666666666674</v>
      </c>
      <c r="I10" s="28">
        <v>0.35416666666666669</v>
      </c>
      <c r="J10" s="66">
        <f t="shared" si="2"/>
        <v>0.34375000000000006</v>
      </c>
      <c r="K10" s="61"/>
      <c r="L10" s="34"/>
      <c r="M10" s="30"/>
      <c r="N10" s="22">
        <v>44235</v>
      </c>
      <c r="O10" t="s">
        <v>35</v>
      </c>
      <c r="P10" s="30" t="s">
        <v>120</v>
      </c>
    </row>
    <row r="11" spans="1:18" ht="14.4" customHeight="1" thickTop="1" thickBot="1" x14ac:dyDescent="0.3">
      <c r="A11" s="62" t="s">
        <v>93</v>
      </c>
      <c r="B11" s="22">
        <v>44236</v>
      </c>
      <c r="C11" s="63"/>
      <c r="D11" s="63"/>
      <c r="E11" s="64">
        <f t="shared" si="0"/>
        <v>0</v>
      </c>
      <c r="F11" s="63"/>
      <c r="G11" s="63">
        <v>0.35416666666666669</v>
      </c>
      <c r="H11" s="3">
        <f t="shared" si="1"/>
        <v>0.35416666666666669</v>
      </c>
      <c r="I11" s="28">
        <v>0.35416666666666669</v>
      </c>
      <c r="J11" s="66">
        <f t="shared" si="2"/>
        <v>0.35416666666666669</v>
      </c>
      <c r="K11" s="61"/>
      <c r="L11" s="34"/>
      <c r="M11" s="30"/>
      <c r="N11" s="22">
        <v>44236</v>
      </c>
      <c r="O11" t="s">
        <v>35</v>
      </c>
      <c r="P11" t="s">
        <v>50</v>
      </c>
    </row>
    <row r="12" spans="1:18" ht="14.4" customHeight="1" thickTop="1" thickBot="1" x14ac:dyDescent="0.3">
      <c r="A12" s="2" t="s">
        <v>94</v>
      </c>
      <c r="B12" s="22">
        <v>44237</v>
      </c>
      <c r="C12" s="3">
        <v>0.33333333333333331</v>
      </c>
      <c r="D12" s="3">
        <v>0.51041666666666663</v>
      </c>
      <c r="E12" s="58">
        <f t="shared" si="0"/>
        <v>0.17708333333333331</v>
      </c>
      <c r="F12" s="3">
        <v>0.54166666666666663</v>
      </c>
      <c r="G12" s="3">
        <v>0.72916666666666663</v>
      </c>
      <c r="H12" s="3">
        <f t="shared" si="1"/>
        <v>0.1875</v>
      </c>
      <c r="I12" s="28">
        <v>0.35416666666666669</v>
      </c>
      <c r="J12" s="66">
        <f t="shared" si="2"/>
        <v>0.36458333333333331</v>
      </c>
      <c r="K12" s="61"/>
      <c r="L12" s="34"/>
      <c r="M12" s="30"/>
      <c r="N12" s="22">
        <v>44237</v>
      </c>
      <c r="Q12" t="s">
        <v>115</v>
      </c>
      <c r="R12" s="7" t="s">
        <v>119</v>
      </c>
    </row>
    <row r="13" spans="1:18" ht="14.4" customHeight="1" thickTop="1" thickBot="1" x14ac:dyDescent="0.3">
      <c r="A13" s="2" t="s">
        <v>95</v>
      </c>
      <c r="B13" s="22">
        <v>44238</v>
      </c>
      <c r="C13" s="3">
        <v>0.33333333333333331</v>
      </c>
      <c r="D13" s="3">
        <v>0.51041666666666663</v>
      </c>
      <c r="E13" s="58">
        <f t="shared" si="0"/>
        <v>0.17708333333333331</v>
      </c>
      <c r="F13" s="3">
        <v>0.54166666666666663</v>
      </c>
      <c r="G13" s="3">
        <v>0.72916666666666663</v>
      </c>
      <c r="H13" s="3">
        <f t="shared" si="1"/>
        <v>0.1875</v>
      </c>
      <c r="I13" s="28">
        <v>0.35416666666666669</v>
      </c>
      <c r="J13" s="66">
        <f t="shared" si="2"/>
        <v>0.36458333333333331</v>
      </c>
      <c r="K13" s="61"/>
      <c r="L13" s="34" t="s">
        <v>129</v>
      </c>
      <c r="M13" s="30"/>
      <c r="N13" s="22">
        <v>44238</v>
      </c>
      <c r="Q13" t="s">
        <v>115</v>
      </c>
      <c r="R13" t="s">
        <v>119</v>
      </c>
    </row>
    <row r="14" spans="1:18" ht="14.4" customHeight="1" thickTop="1" thickBot="1" x14ac:dyDescent="0.3">
      <c r="A14" s="2" t="s">
        <v>96</v>
      </c>
      <c r="B14" s="22">
        <v>44239</v>
      </c>
      <c r="C14" s="3">
        <v>0.33333333333333331</v>
      </c>
      <c r="D14" s="3">
        <v>0.51041666666666663</v>
      </c>
      <c r="E14" s="58">
        <f>D14-C14</f>
        <v>0.17708333333333331</v>
      </c>
      <c r="F14" s="3">
        <v>0.54166666666666663</v>
      </c>
      <c r="G14" s="3">
        <v>0.69791666666666663</v>
      </c>
      <c r="H14" s="3">
        <f>G14-F14</f>
        <v>0.15625</v>
      </c>
      <c r="I14" s="38">
        <v>0.33333333333333331</v>
      </c>
      <c r="J14" s="66">
        <f t="shared" si="2"/>
        <v>0.33333333333333331</v>
      </c>
      <c r="K14" s="61"/>
      <c r="L14" s="34" t="s">
        <v>129</v>
      </c>
      <c r="M14" s="30"/>
      <c r="N14" s="22">
        <v>44239</v>
      </c>
      <c r="O14" t="s">
        <v>35</v>
      </c>
      <c r="P14" t="s">
        <v>40</v>
      </c>
      <c r="Q14" t="s">
        <v>116</v>
      </c>
      <c r="R14" t="s">
        <v>40</v>
      </c>
    </row>
    <row r="15" spans="1:18" ht="14.4" hidden="1" customHeight="1" thickTop="1" thickBot="1" x14ac:dyDescent="0.3">
      <c r="A15" s="2" t="s">
        <v>97</v>
      </c>
      <c r="B15" s="22">
        <v>44240</v>
      </c>
      <c r="C15" s="37"/>
      <c r="D15" s="37"/>
      <c r="E15" s="58">
        <f t="shared" si="0"/>
        <v>0</v>
      </c>
      <c r="F15" s="37"/>
      <c r="G15" s="37"/>
      <c r="H15" s="3">
        <f t="shared" si="1"/>
        <v>0</v>
      </c>
      <c r="I15" s="38"/>
      <c r="J15" s="66"/>
      <c r="K15" s="61"/>
      <c r="L15" s="34"/>
      <c r="M15" s="30"/>
      <c r="N15" s="22">
        <v>44240</v>
      </c>
    </row>
    <row r="16" spans="1:18" ht="14.4" hidden="1" customHeight="1" thickTop="1" thickBot="1" x14ac:dyDescent="0.3">
      <c r="A16" s="2" t="s">
        <v>98</v>
      </c>
      <c r="B16" s="22">
        <v>44241</v>
      </c>
      <c r="C16" s="37"/>
      <c r="D16" s="37"/>
      <c r="E16" s="58">
        <f t="shared" si="0"/>
        <v>0</v>
      </c>
      <c r="F16" s="37"/>
      <c r="G16" s="37"/>
      <c r="H16" s="3">
        <f t="shared" si="1"/>
        <v>0</v>
      </c>
      <c r="I16" s="28"/>
      <c r="J16" s="66"/>
      <c r="K16" s="61"/>
      <c r="L16" s="34"/>
      <c r="M16" s="30"/>
      <c r="N16" s="22">
        <v>44241</v>
      </c>
    </row>
    <row r="17" spans="1:22" ht="14.4" customHeight="1" thickTop="1" thickBot="1" x14ac:dyDescent="0.3">
      <c r="A17" s="2" t="s">
        <v>99</v>
      </c>
      <c r="B17" s="22">
        <v>44242</v>
      </c>
      <c r="C17" s="3">
        <v>0.33333333333333331</v>
      </c>
      <c r="D17" s="3">
        <v>0.51041666666666663</v>
      </c>
      <c r="E17" s="58">
        <f t="shared" si="0"/>
        <v>0.17708333333333331</v>
      </c>
      <c r="F17" s="3">
        <v>0.54166666666666663</v>
      </c>
      <c r="G17" s="3">
        <v>0.71875</v>
      </c>
      <c r="H17" s="3">
        <f t="shared" si="1"/>
        <v>0.17708333333333337</v>
      </c>
      <c r="I17" s="28">
        <v>0.35416666666666669</v>
      </c>
      <c r="J17" s="66">
        <f t="shared" si="2"/>
        <v>0.35416666666666669</v>
      </c>
      <c r="K17" s="61"/>
      <c r="L17" s="34" t="s">
        <v>129</v>
      </c>
      <c r="M17" s="30"/>
      <c r="N17" s="22">
        <v>44242</v>
      </c>
      <c r="O17" t="s">
        <v>35</v>
      </c>
      <c r="P17" t="s">
        <v>38</v>
      </c>
      <c r="Q17" t="s">
        <v>116</v>
      </c>
      <c r="R17" t="s">
        <v>40</v>
      </c>
    </row>
    <row r="18" spans="1:22" ht="14.4" customHeight="1" thickTop="1" thickBot="1" x14ac:dyDescent="0.3">
      <c r="A18" s="35" t="s">
        <v>93</v>
      </c>
      <c r="B18" s="36">
        <v>44243</v>
      </c>
      <c r="C18" s="37">
        <v>0.32291666666666669</v>
      </c>
      <c r="D18" s="37">
        <v>0.51041666666666663</v>
      </c>
      <c r="E18" s="67">
        <f t="shared" si="0"/>
        <v>0.18749999999999994</v>
      </c>
      <c r="F18" s="37">
        <v>0.54166666666666663</v>
      </c>
      <c r="G18" s="37">
        <v>0.71875</v>
      </c>
      <c r="H18" s="3">
        <f t="shared" si="1"/>
        <v>0.17708333333333337</v>
      </c>
      <c r="I18" s="28">
        <v>0.35416666666666669</v>
      </c>
      <c r="J18" s="66">
        <f t="shared" si="2"/>
        <v>0.36458333333333331</v>
      </c>
      <c r="K18" s="61"/>
      <c r="L18" s="34" t="s">
        <v>88</v>
      </c>
      <c r="M18" s="30"/>
      <c r="N18" s="22">
        <v>44243</v>
      </c>
      <c r="Q18" t="s">
        <v>116</v>
      </c>
      <c r="R18" t="s">
        <v>52</v>
      </c>
      <c r="S18" t="s">
        <v>117</v>
      </c>
      <c r="T18" t="s">
        <v>40</v>
      </c>
      <c r="U18" t="s">
        <v>37</v>
      </c>
      <c r="V18" t="s">
        <v>118</v>
      </c>
    </row>
    <row r="19" spans="1:22" ht="14.4" customHeight="1" thickTop="1" thickBot="1" x14ac:dyDescent="0.3">
      <c r="A19" s="2" t="s">
        <v>94</v>
      </c>
      <c r="B19" s="22">
        <v>44244</v>
      </c>
      <c r="C19" s="3">
        <v>0.32291666666666669</v>
      </c>
      <c r="D19" s="3">
        <v>0.51041666666666663</v>
      </c>
      <c r="E19" s="58">
        <f t="shared" si="0"/>
        <v>0.18749999999999994</v>
      </c>
      <c r="F19" s="3">
        <v>0.54166666666666663</v>
      </c>
      <c r="G19" s="3">
        <v>0.70833333333333337</v>
      </c>
      <c r="H19" s="3">
        <f t="shared" si="1"/>
        <v>0.16666666666666674</v>
      </c>
      <c r="I19" s="28">
        <v>0.35416666666666669</v>
      </c>
      <c r="J19" s="66">
        <f t="shared" si="2"/>
        <v>0.35416666666666669</v>
      </c>
      <c r="K19" s="61"/>
      <c r="L19" s="34" t="s">
        <v>88</v>
      </c>
      <c r="M19" s="30"/>
      <c r="N19" s="22">
        <v>44244</v>
      </c>
      <c r="O19" t="s">
        <v>35</v>
      </c>
      <c r="Q19" t="s">
        <v>43</v>
      </c>
      <c r="R19" t="s">
        <v>134</v>
      </c>
      <c r="S19" t="s">
        <v>115</v>
      </c>
      <c r="T19" t="s">
        <v>121</v>
      </c>
    </row>
    <row r="20" spans="1:22" ht="14.4" customHeight="1" thickTop="1" thickBot="1" x14ac:dyDescent="0.3">
      <c r="A20" s="2" t="s">
        <v>95</v>
      </c>
      <c r="B20" s="22">
        <v>44245</v>
      </c>
      <c r="C20" s="3">
        <v>0.32291666666666669</v>
      </c>
      <c r="D20" s="3">
        <v>0.51041666666666663</v>
      </c>
      <c r="E20" s="58">
        <f>D20-C20</f>
        <v>0.18749999999999994</v>
      </c>
      <c r="F20" s="3">
        <v>0.54166666666666663</v>
      </c>
      <c r="G20" s="3">
        <v>0.72916666666666663</v>
      </c>
      <c r="H20" s="3">
        <f>G20-F20</f>
        <v>0.1875</v>
      </c>
      <c r="I20" s="28">
        <v>0.35416666666666669</v>
      </c>
      <c r="J20" s="66">
        <f t="shared" si="2"/>
        <v>0.37499999999999994</v>
      </c>
      <c r="K20" s="61"/>
      <c r="L20" s="34" t="s">
        <v>45</v>
      </c>
      <c r="M20" s="30"/>
      <c r="N20" s="22">
        <v>44245</v>
      </c>
      <c r="O20" t="s">
        <v>35</v>
      </c>
      <c r="P20" t="s">
        <v>136</v>
      </c>
      <c r="Q20" t="s">
        <v>37</v>
      </c>
      <c r="R20" t="s">
        <v>135</v>
      </c>
    </row>
    <row r="21" spans="1:22" ht="14.4" customHeight="1" thickTop="1" thickBot="1" x14ac:dyDescent="0.3">
      <c r="A21" s="2" t="s">
        <v>96</v>
      </c>
      <c r="B21" s="22">
        <v>44246</v>
      </c>
      <c r="C21" s="3">
        <v>0.33333333333333331</v>
      </c>
      <c r="D21" s="3">
        <v>0.5</v>
      </c>
      <c r="E21" s="58">
        <f t="shared" si="0"/>
        <v>0.16666666666666669</v>
      </c>
      <c r="F21" s="3">
        <v>0.54166666666666663</v>
      </c>
      <c r="G21" s="3">
        <v>0.66666666666666663</v>
      </c>
      <c r="H21" s="3">
        <f t="shared" si="1"/>
        <v>0.125</v>
      </c>
      <c r="I21" s="38">
        <v>0.33333333333333331</v>
      </c>
      <c r="J21" s="66">
        <f t="shared" si="2"/>
        <v>0.29166666666666669</v>
      </c>
      <c r="K21" s="61"/>
      <c r="L21" s="34" t="s">
        <v>130</v>
      </c>
      <c r="M21" s="30"/>
      <c r="N21" s="22">
        <v>44246</v>
      </c>
      <c r="O21" t="s">
        <v>35</v>
      </c>
      <c r="P21" t="s">
        <v>123</v>
      </c>
      <c r="Q21" t="s">
        <v>43</v>
      </c>
      <c r="R21" t="s">
        <v>122</v>
      </c>
    </row>
    <row r="22" spans="1:22" ht="14.4" hidden="1" customHeight="1" thickTop="1" thickBot="1" x14ac:dyDescent="0.3">
      <c r="A22" s="2" t="s">
        <v>97</v>
      </c>
      <c r="B22" s="22">
        <v>44247</v>
      </c>
      <c r="C22" s="3"/>
      <c r="D22" s="3"/>
      <c r="E22" s="58">
        <f t="shared" si="0"/>
        <v>0</v>
      </c>
      <c r="F22" s="3"/>
      <c r="G22" s="3"/>
      <c r="H22" s="3">
        <f t="shared" si="1"/>
        <v>0</v>
      </c>
      <c r="I22" s="28"/>
      <c r="J22" s="66"/>
      <c r="K22" s="61"/>
      <c r="L22" s="34"/>
      <c r="M22" s="30"/>
      <c r="N22" s="22">
        <v>44247</v>
      </c>
    </row>
    <row r="23" spans="1:22" ht="14.4" hidden="1" customHeight="1" thickTop="1" thickBot="1" x14ac:dyDescent="0.3">
      <c r="A23" s="2" t="s">
        <v>98</v>
      </c>
      <c r="B23" s="22">
        <v>44248</v>
      </c>
      <c r="C23" s="3"/>
      <c r="D23" s="3"/>
      <c r="E23" s="58">
        <f t="shared" si="0"/>
        <v>0</v>
      </c>
      <c r="F23" s="3"/>
      <c r="G23" s="3"/>
      <c r="H23" s="3">
        <f t="shared" si="1"/>
        <v>0</v>
      </c>
      <c r="I23" s="28"/>
      <c r="J23" s="66"/>
      <c r="K23" s="61"/>
      <c r="L23" s="34"/>
      <c r="M23" s="30"/>
      <c r="N23" s="22">
        <v>44248</v>
      </c>
    </row>
    <row r="24" spans="1:22" ht="14.4" customHeight="1" thickTop="1" thickBot="1" x14ac:dyDescent="0.3">
      <c r="A24" s="2" t="s">
        <v>99</v>
      </c>
      <c r="B24" s="22">
        <v>44249</v>
      </c>
      <c r="C24" s="3">
        <v>0.33333333333333331</v>
      </c>
      <c r="D24" s="3">
        <v>0.51041666666666663</v>
      </c>
      <c r="E24" s="58">
        <f t="shared" si="0"/>
        <v>0.17708333333333331</v>
      </c>
      <c r="F24" s="3">
        <v>0.54166666666666663</v>
      </c>
      <c r="G24" s="3">
        <v>0.71875</v>
      </c>
      <c r="H24" s="3">
        <f t="shared" si="1"/>
        <v>0.17708333333333337</v>
      </c>
      <c r="I24" s="28">
        <v>0.35416666666666669</v>
      </c>
      <c r="J24" s="66">
        <f t="shared" si="2"/>
        <v>0.35416666666666669</v>
      </c>
      <c r="K24" s="61"/>
      <c r="L24" s="34"/>
      <c r="M24" s="30"/>
      <c r="N24" s="22">
        <v>44249</v>
      </c>
      <c r="O24" t="s">
        <v>35</v>
      </c>
      <c r="P24" t="s">
        <v>38</v>
      </c>
      <c r="Q24" t="s">
        <v>108</v>
      </c>
      <c r="R24" t="s">
        <v>40</v>
      </c>
    </row>
    <row r="25" spans="1:22" ht="14.4" customHeight="1" thickTop="1" thickBot="1" x14ac:dyDescent="0.3">
      <c r="A25" s="62" t="s">
        <v>93</v>
      </c>
      <c r="B25" s="22">
        <v>44250</v>
      </c>
      <c r="C25" s="63"/>
      <c r="D25" s="63"/>
      <c r="E25" s="64">
        <f t="shared" si="0"/>
        <v>0</v>
      </c>
      <c r="F25" s="63"/>
      <c r="G25" s="63">
        <v>0.35416666666666669</v>
      </c>
      <c r="H25" s="3">
        <f t="shared" si="1"/>
        <v>0.35416666666666669</v>
      </c>
      <c r="I25" s="28">
        <v>0.35416666666666669</v>
      </c>
      <c r="J25" s="66">
        <f t="shared" si="2"/>
        <v>0.35416666666666669</v>
      </c>
      <c r="K25" s="61"/>
      <c r="L25" s="34"/>
      <c r="M25" s="30"/>
      <c r="N25" s="22">
        <v>44250</v>
      </c>
      <c r="O25" t="s">
        <v>35</v>
      </c>
      <c r="P25" t="s">
        <v>50</v>
      </c>
    </row>
    <row r="26" spans="1:22" ht="14.4" customHeight="1" thickTop="1" thickBot="1" x14ac:dyDescent="0.3">
      <c r="A26" s="2" t="s">
        <v>94</v>
      </c>
      <c r="B26" s="22">
        <v>44251</v>
      </c>
      <c r="C26" s="3">
        <v>0.33333333333333331</v>
      </c>
      <c r="D26" s="3">
        <v>0.51041666666666663</v>
      </c>
      <c r="E26" s="58">
        <f t="shared" si="0"/>
        <v>0.17708333333333331</v>
      </c>
      <c r="F26" s="3">
        <v>0.54166666666666663</v>
      </c>
      <c r="G26" s="3">
        <v>0.75</v>
      </c>
      <c r="H26" s="3">
        <f t="shared" si="1"/>
        <v>0.20833333333333337</v>
      </c>
      <c r="I26" s="28">
        <v>0.35416666666666669</v>
      </c>
      <c r="J26" s="66">
        <f t="shared" si="2"/>
        <v>0.38541666666666669</v>
      </c>
      <c r="K26" s="61"/>
      <c r="L26" s="34" t="s">
        <v>86</v>
      </c>
      <c r="M26" s="30"/>
      <c r="N26" s="22">
        <v>44251</v>
      </c>
      <c r="Q26" t="s">
        <v>125</v>
      </c>
      <c r="R26" t="s">
        <v>55</v>
      </c>
      <c r="S26" t="s">
        <v>126</v>
      </c>
      <c r="T26" t="s">
        <v>131</v>
      </c>
    </row>
    <row r="27" spans="1:22" ht="14.4" customHeight="1" thickTop="1" thickBot="1" x14ac:dyDescent="0.3">
      <c r="A27" s="2" t="s">
        <v>95</v>
      </c>
      <c r="B27" s="22">
        <v>44252</v>
      </c>
      <c r="C27" s="3">
        <v>0.34375</v>
      </c>
      <c r="D27" s="3">
        <v>0.51041666666666663</v>
      </c>
      <c r="E27" s="58">
        <f t="shared" si="0"/>
        <v>0.16666666666666663</v>
      </c>
      <c r="F27" s="3">
        <v>0.54166666666666663</v>
      </c>
      <c r="G27" s="3">
        <v>0.73958333333333337</v>
      </c>
      <c r="H27" s="3">
        <f>G27-F27</f>
        <v>0.19791666666666674</v>
      </c>
      <c r="I27" s="28">
        <v>0.35416666666666669</v>
      </c>
      <c r="J27" s="66">
        <f t="shared" si="2"/>
        <v>0.36458333333333337</v>
      </c>
      <c r="K27" s="61"/>
      <c r="L27" s="34" t="s">
        <v>45</v>
      </c>
      <c r="M27" s="30"/>
      <c r="N27" s="22">
        <v>44252</v>
      </c>
      <c r="Q27" t="s">
        <v>127</v>
      </c>
      <c r="R27" t="s">
        <v>133</v>
      </c>
      <c r="S27" t="s">
        <v>79</v>
      </c>
      <c r="T27" t="s">
        <v>40</v>
      </c>
    </row>
    <row r="28" spans="1:22" ht="14.4" customHeight="1" thickTop="1" thickBot="1" x14ac:dyDescent="0.3">
      <c r="A28" s="2" t="s">
        <v>96</v>
      </c>
      <c r="B28" s="22">
        <v>44253</v>
      </c>
      <c r="C28" s="3">
        <v>0.35416666666666669</v>
      </c>
      <c r="D28" s="3">
        <v>0.51041666666666663</v>
      </c>
      <c r="E28" s="58">
        <f t="shared" si="0"/>
        <v>0.15624999999999994</v>
      </c>
      <c r="F28" s="3">
        <v>0.54166666666666663</v>
      </c>
      <c r="G28" s="3">
        <v>0.67708333333333337</v>
      </c>
      <c r="H28" s="3">
        <f>G28-F28</f>
        <v>0.13541666666666674</v>
      </c>
      <c r="I28" s="38">
        <v>0.33333333333333331</v>
      </c>
      <c r="J28" s="66">
        <f t="shared" si="2"/>
        <v>0.29166666666666669</v>
      </c>
      <c r="K28" s="61"/>
      <c r="L28" s="34"/>
      <c r="M28" s="30"/>
      <c r="N28" s="22">
        <v>44253</v>
      </c>
      <c r="Q28" t="s">
        <v>128</v>
      </c>
      <c r="R28" t="s">
        <v>132</v>
      </c>
      <c r="S28" t="s">
        <v>79</v>
      </c>
      <c r="T28" t="s">
        <v>38</v>
      </c>
    </row>
    <row r="29" spans="1:22" ht="14.4" hidden="1" customHeight="1" thickTop="1" thickBot="1" x14ac:dyDescent="0.3">
      <c r="A29" s="2" t="s">
        <v>97</v>
      </c>
      <c r="B29" s="22">
        <v>44255</v>
      </c>
      <c r="C29" s="37"/>
      <c r="D29" s="37"/>
      <c r="E29" s="58">
        <f t="shared" si="0"/>
        <v>0</v>
      </c>
      <c r="F29" s="37"/>
      <c r="G29" s="37"/>
      <c r="H29" s="3">
        <f t="shared" si="1"/>
        <v>0</v>
      </c>
      <c r="I29" s="38"/>
      <c r="J29" s="28"/>
      <c r="K29" s="61"/>
      <c r="L29" s="34"/>
      <c r="M29" s="30"/>
      <c r="N29" s="22">
        <v>44254</v>
      </c>
    </row>
    <row r="30" spans="1:22" ht="14.4" customHeight="1" thickTop="1" x14ac:dyDescent="0.25">
      <c r="A30" s="59"/>
      <c r="B30" s="30"/>
      <c r="G30" t="s">
        <v>129</v>
      </c>
    </row>
    <row r="31" spans="1:22" ht="14.4" customHeight="1" x14ac:dyDescent="0.25">
      <c r="A31" s="40"/>
      <c r="B31" s="30"/>
    </row>
    <row r="32" spans="1:22" ht="14.4" customHeight="1" x14ac:dyDescent="0.25">
      <c r="A32" s="40"/>
      <c r="B32" s="30"/>
      <c r="L32">
        <v>9.25</v>
      </c>
    </row>
    <row r="33" spans="1:1" ht="14.4" customHeight="1" x14ac:dyDescent="0.25">
      <c r="A33" s="40"/>
    </row>
    <row r="34" spans="1:1" ht="14.4" customHeight="1" x14ac:dyDescent="0.25"/>
    <row r="35" spans="1:1" ht="14.4" customHeight="1" x14ac:dyDescent="0.25"/>
    <row r="36" spans="1:1" ht="14.4" customHeight="1" x14ac:dyDescent="0.25"/>
  </sheetData>
  <mergeCells count="1">
    <mergeCell ref="A1:J1"/>
  </mergeCells>
  <conditionalFormatting sqref="J3:J29">
    <cfRule type="expression" dxfId="110" priority="4">
      <formula>J3=0</formula>
    </cfRule>
    <cfRule type="expression" dxfId="109" priority="5">
      <formula>J3&gt;I3</formula>
    </cfRule>
    <cfRule type="expression" dxfId="108" priority="6">
      <formula>J3&lt;I3</formula>
    </cfRule>
    <cfRule type="expression" dxfId="107" priority="7">
      <formula>J3&gt;=I3</formula>
    </cfRule>
  </conditionalFormatting>
  <conditionalFormatting sqref="L4:L29">
    <cfRule type="expression" dxfId="106" priority="1">
      <formula>L3=L4</formula>
    </cfRule>
    <cfRule type="expression" dxfId="105" priority="2">
      <formula>L4&lt;L3</formula>
    </cfRule>
    <cfRule type="expression" dxfId="104" priority="3">
      <formula>L4&gt;L3</formula>
    </cfRule>
  </conditionalFormatting>
  <conditionalFormatting sqref="L22:L29">
    <cfRule type="expression" dxfId="103" priority="8">
      <formula>L22=0</formula>
    </cfRule>
    <cfRule type="expression" dxfId="102" priority="9">
      <formula>L22&gt;J21</formula>
    </cfRule>
    <cfRule type="expression" dxfId="101" priority="10">
      <formula>L22&lt;J21</formula>
    </cfRule>
    <cfRule type="expression" dxfId="100" priority="11">
      <formula>L22&gt;=J21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theme="4" tint="0.79998168889431442"/>
  </sheetPr>
  <dimension ref="A1:AM56"/>
  <sheetViews>
    <sheetView showZeros="0" zoomScaleNormal="100" workbookViewId="0">
      <selection activeCell="M15" sqref="M15"/>
    </sheetView>
  </sheetViews>
  <sheetFormatPr baseColWidth="10" defaultRowHeight="13.8" x14ac:dyDescent="0.25"/>
  <cols>
    <col min="3" max="3" width="1.5" customWidth="1"/>
    <col min="6" max="6" width="8.296875" customWidth="1"/>
    <col min="9" max="9" width="8" customWidth="1"/>
    <col min="10" max="10" width="11.59765625" hidden="1" customWidth="1"/>
    <col min="11" max="11" width="9.296875" customWidth="1"/>
    <col min="12" max="12" width="11.296875" customWidth="1"/>
    <col min="15" max="15" width="10.59765625" customWidth="1"/>
    <col min="17" max="17" width="10.59765625" customWidth="1"/>
    <col min="19" max="19" width="10.59765625" customWidth="1"/>
    <col min="21" max="21" width="10.59765625" customWidth="1"/>
    <col min="34" max="34" width="3.8984375" customWidth="1"/>
    <col min="35" max="35" width="8.59765625" customWidth="1"/>
  </cols>
  <sheetData>
    <row r="1" spans="1:29" ht="14.4" thickBot="1" x14ac:dyDescent="0.3">
      <c r="T1" t="s">
        <v>140</v>
      </c>
      <c r="U1" t="s">
        <v>141</v>
      </c>
      <c r="AC1" t="s">
        <v>153</v>
      </c>
    </row>
    <row r="2" spans="1:29" ht="15" thickTop="1" thickBot="1" x14ac:dyDescent="0.3">
      <c r="A2" s="68" t="s">
        <v>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  <c r="M2" s="44">
        <v>0</v>
      </c>
      <c r="T2" t="s">
        <v>142</v>
      </c>
      <c r="U2" t="s">
        <v>143</v>
      </c>
    </row>
    <row r="3" spans="1:29" ht="15" thickTop="1" thickBot="1" x14ac:dyDescent="0.3">
      <c r="A3" s="18" t="s">
        <v>22</v>
      </c>
      <c r="B3" s="19" t="s">
        <v>23</v>
      </c>
      <c r="C3" s="19"/>
      <c r="D3" s="19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19" t="s">
        <v>29</v>
      </c>
      <c r="J3" s="45" t="s">
        <v>102</v>
      </c>
      <c r="K3" s="75" t="s">
        <v>30</v>
      </c>
      <c r="L3" s="71"/>
      <c r="M3" s="32" t="s">
        <v>67</v>
      </c>
    </row>
    <row r="4" spans="1:29" ht="15" thickTop="1" thickBot="1" x14ac:dyDescent="0.3">
      <c r="A4" s="2" t="s">
        <v>17</v>
      </c>
      <c r="B4" s="22">
        <v>44256</v>
      </c>
      <c r="C4" s="22"/>
      <c r="D4" s="3">
        <v>0.33333333333333331</v>
      </c>
      <c r="E4" s="3">
        <v>0.51041666666666663</v>
      </c>
      <c r="F4" s="3">
        <f t="shared" ref="F4:F34" si="0">E4-D4</f>
        <v>0.17708333333333331</v>
      </c>
      <c r="G4" s="3">
        <v>0.54166666666666663</v>
      </c>
      <c r="H4" s="3">
        <v>0.71875</v>
      </c>
      <c r="I4" s="3">
        <f>H4-G4</f>
        <v>0.17708333333333337</v>
      </c>
      <c r="J4" s="55">
        <v>0.35416666666666669</v>
      </c>
      <c r="K4" s="76">
        <f>F4+I4</f>
        <v>0.35416666666666669</v>
      </c>
      <c r="L4" s="71"/>
      <c r="M4" s="33"/>
      <c r="N4" t="s">
        <v>146</v>
      </c>
      <c r="O4" t="s">
        <v>38</v>
      </c>
      <c r="P4" t="s">
        <v>137</v>
      </c>
      <c r="Q4" t="s">
        <v>40</v>
      </c>
    </row>
    <row r="5" spans="1:29" ht="15" thickTop="1" thickBot="1" x14ac:dyDescent="0.3">
      <c r="A5" s="2" t="s">
        <v>18</v>
      </c>
      <c r="B5" s="22">
        <v>44257</v>
      </c>
      <c r="C5" s="22"/>
      <c r="D5" s="3"/>
      <c r="E5" s="3"/>
      <c r="F5" s="3">
        <f t="shared" si="0"/>
        <v>0</v>
      </c>
      <c r="G5" s="3"/>
      <c r="H5" s="3">
        <v>0.35416666666666669</v>
      </c>
      <c r="I5" s="3">
        <f>H5-G5</f>
        <v>0.35416666666666669</v>
      </c>
      <c r="J5" s="4">
        <v>0.35416666666666669</v>
      </c>
      <c r="K5" s="76">
        <f>F5+I5</f>
        <v>0.35416666666666669</v>
      </c>
      <c r="L5" s="71"/>
      <c r="M5" s="33">
        <f>M4+K5-J5</f>
        <v>0</v>
      </c>
      <c r="N5" t="s">
        <v>72</v>
      </c>
      <c r="O5" t="s">
        <v>50</v>
      </c>
    </row>
    <row r="6" spans="1:29" ht="15" thickTop="1" thickBot="1" x14ac:dyDescent="0.3">
      <c r="A6" s="2" t="s">
        <v>19</v>
      </c>
      <c r="B6" s="22">
        <v>44258</v>
      </c>
      <c r="C6" s="22"/>
      <c r="D6" s="3">
        <v>0.33333333333333331</v>
      </c>
      <c r="E6" s="3">
        <v>0.51041666666666663</v>
      </c>
      <c r="F6" s="3">
        <f t="shared" si="0"/>
        <v>0.17708333333333331</v>
      </c>
      <c r="G6" s="3">
        <v>0.54166666666666663</v>
      </c>
      <c r="H6" s="3">
        <v>0.73958333333333337</v>
      </c>
      <c r="I6" s="3">
        <f t="shared" ref="I6:I34" si="1">H6-G6</f>
        <v>0.19791666666666674</v>
      </c>
      <c r="J6" s="4">
        <v>0.35416666666666669</v>
      </c>
      <c r="K6" s="76">
        <f t="shared" ref="K6:K34" si="2">F6+I6</f>
        <v>0.37500000000000006</v>
      </c>
      <c r="L6" s="71"/>
      <c r="M6" s="33">
        <f>M5+K6-J6</f>
        <v>2.083333333333337E-2</v>
      </c>
      <c r="P6" t="s">
        <v>138</v>
      </c>
      <c r="Q6" t="s">
        <v>109</v>
      </c>
      <c r="R6" t="s">
        <v>139</v>
      </c>
      <c r="S6" t="s">
        <v>145</v>
      </c>
    </row>
    <row r="7" spans="1:29" ht="15" thickTop="1" thickBot="1" x14ac:dyDescent="0.3">
      <c r="A7" s="2" t="s">
        <v>13</v>
      </c>
      <c r="B7" s="22">
        <v>44259</v>
      </c>
      <c r="C7" s="22"/>
      <c r="D7" s="3">
        <v>0.34375</v>
      </c>
      <c r="E7" s="3">
        <v>0.51041666666666663</v>
      </c>
      <c r="F7" s="3">
        <f t="shared" si="0"/>
        <v>0.16666666666666663</v>
      </c>
      <c r="G7" s="3">
        <v>0.54166666666666663</v>
      </c>
      <c r="H7" s="3">
        <v>0.75</v>
      </c>
      <c r="I7" s="3">
        <f t="shared" si="1"/>
        <v>0.20833333333333337</v>
      </c>
      <c r="J7" s="4">
        <v>0.35416666666666669</v>
      </c>
      <c r="K7" s="76">
        <f t="shared" si="2"/>
        <v>0.375</v>
      </c>
      <c r="L7" s="71"/>
      <c r="M7" s="33">
        <f>M6+K7-J7</f>
        <v>4.1666666666666685E-2</v>
      </c>
      <c r="P7" t="s">
        <v>139</v>
      </c>
      <c r="Q7" t="s">
        <v>148</v>
      </c>
    </row>
    <row r="8" spans="1:29" ht="15" thickTop="1" thickBot="1" x14ac:dyDescent="0.3">
      <c r="A8" s="2" t="s">
        <v>14</v>
      </c>
      <c r="B8" s="22">
        <v>44260</v>
      </c>
      <c r="C8" s="22"/>
      <c r="D8" s="3">
        <v>0.34375</v>
      </c>
      <c r="E8" s="3">
        <v>0.51041666666666663</v>
      </c>
      <c r="F8" s="3">
        <f t="shared" si="0"/>
        <v>0.16666666666666663</v>
      </c>
      <c r="G8" s="3">
        <v>0.54166666666666663</v>
      </c>
      <c r="H8" s="3">
        <v>0.66666666666666663</v>
      </c>
      <c r="I8" s="3">
        <f t="shared" si="1"/>
        <v>0.125</v>
      </c>
      <c r="J8" s="4">
        <v>0.33333333333333331</v>
      </c>
      <c r="K8" s="76">
        <f t="shared" si="2"/>
        <v>0.29166666666666663</v>
      </c>
      <c r="L8" s="71"/>
      <c r="M8" s="33">
        <f>M7+K8-J8</f>
        <v>0</v>
      </c>
      <c r="P8" t="s">
        <v>139</v>
      </c>
      <c r="Q8" t="s">
        <v>144</v>
      </c>
    </row>
    <row r="9" spans="1:29" ht="1.2" customHeight="1" thickTop="1" thickBot="1" x14ac:dyDescent="0.3">
      <c r="A9" s="2" t="s">
        <v>15</v>
      </c>
      <c r="B9" s="22">
        <v>44261</v>
      </c>
      <c r="C9" s="22"/>
      <c r="D9" s="3"/>
      <c r="E9" s="3"/>
      <c r="F9" s="3">
        <f t="shared" si="0"/>
        <v>0</v>
      </c>
      <c r="G9" s="3"/>
      <c r="H9" s="3"/>
      <c r="I9" s="3">
        <f t="shared" si="1"/>
        <v>0</v>
      </c>
      <c r="J9" s="4"/>
      <c r="K9" s="76">
        <f t="shared" si="2"/>
        <v>0</v>
      </c>
      <c r="L9" s="71"/>
      <c r="M9" s="33">
        <f t="shared" ref="M9:M34" si="3">M8+K9-J9</f>
        <v>0</v>
      </c>
    </row>
    <row r="10" spans="1:29" ht="1.2" customHeight="1" thickTop="1" thickBot="1" x14ac:dyDescent="0.3">
      <c r="A10" s="2" t="s">
        <v>16</v>
      </c>
      <c r="B10" s="22">
        <v>44262</v>
      </c>
      <c r="C10" s="22"/>
      <c r="D10" s="3"/>
      <c r="E10" s="3"/>
      <c r="F10" s="3">
        <f t="shared" si="0"/>
        <v>0</v>
      </c>
      <c r="G10" s="3"/>
      <c r="H10" s="3"/>
      <c r="I10" s="3">
        <f t="shared" si="1"/>
        <v>0</v>
      </c>
      <c r="J10" s="4"/>
      <c r="K10" s="76">
        <f t="shared" si="2"/>
        <v>0</v>
      </c>
      <c r="L10" s="71"/>
      <c r="M10" s="33">
        <f t="shared" si="3"/>
        <v>0</v>
      </c>
    </row>
    <row r="11" spans="1:29" ht="15" thickTop="1" thickBot="1" x14ac:dyDescent="0.3">
      <c r="A11" s="2" t="s">
        <v>17</v>
      </c>
      <c r="B11" s="22">
        <v>44263</v>
      </c>
      <c r="C11" s="22"/>
      <c r="D11" s="3">
        <v>0.33333333333333331</v>
      </c>
      <c r="E11" s="3">
        <v>0.51041666666666663</v>
      </c>
      <c r="F11" s="3">
        <f t="shared" si="0"/>
        <v>0.17708333333333331</v>
      </c>
      <c r="G11" s="3">
        <v>0.54166666666666663</v>
      </c>
      <c r="H11" s="3">
        <v>0.71875</v>
      </c>
      <c r="I11" s="3">
        <f t="shared" si="1"/>
        <v>0.17708333333333337</v>
      </c>
      <c r="J11" s="4">
        <v>0.35416666666666669</v>
      </c>
      <c r="K11" s="76">
        <f t="shared" si="2"/>
        <v>0.35416666666666669</v>
      </c>
      <c r="L11" s="71"/>
      <c r="M11" s="33">
        <f t="shared" si="3"/>
        <v>0</v>
      </c>
      <c r="N11" t="s">
        <v>72</v>
      </c>
      <c r="O11" t="s">
        <v>38</v>
      </c>
      <c r="P11" t="s">
        <v>140</v>
      </c>
      <c r="Q11" t="s">
        <v>40</v>
      </c>
    </row>
    <row r="12" spans="1:29" ht="15" thickTop="1" thickBot="1" x14ac:dyDescent="0.3">
      <c r="A12" s="2" t="s">
        <v>18</v>
      </c>
      <c r="B12" s="22">
        <v>44264</v>
      </c>
      <c r="C12" s="22"/>
      <c r="D12" s="3"/>
      <c r="E12" s="3"/>
      <c r="F12" s="3">
        <f t="shared" si="0"/>
        <v>0</v>
      </c>
      <c r="G12" s="3"/>
      <c r="H12" s="3">
        <v>0.35416666666666669</v>
      </c>
      <c r="I12" s="3">
        <f t="shared" si="1"/>
        <v>0.35416666666666669</v>
      </c>
      <c r="J12" s="4">
        <v>0.35416666666666669</v>
      </c>
      <c r="K12" s="76">
        <f t="shared" si="2"/>
        <v>0.35416666666666669</v>
      </c>
      <c r="L12" s="71"/>
      <c r="M12" s="33">
        <f t="shared" si="3"/>
        <v>0</v>
      </c>
      <c r="N12" t="s">
        <v>72</v>
      </c>
      <c r="O12" t="s">
        <v>50</v>
      </c>
    </row>
    <row r="13" spans="1:29" ht="15" thickTop="1" thickBot="1" x14ac:dyDescent="0.3">
      <c r="A13" s="2" t="s">
        <v>19</v>
      </c>
      <c r="B13" s="22">
        <v>44265</v>
      </c>
      <c r="C13" s="22"/>
      <c r="D13" s="3">
        <v>0.33333333333333331</v>
      </c>
      <c r="E13" s="3">
        <v>0.51041666666666663</v>
      </c>
      <c r="F13" s="3">
        <f t="shared" si="0"/>
        <v>0.17708333333333331</v>
      </c>
      <c r="G13" s="3">
        <v>0.54166666666666663</v>
      </c>
      <c r="H13" s="3">
        <v>0.71875</v>
      </c>
      <c r="I13" s="3">
        <f t="shared" si="1"/>
        <v>0.17708333333333337</v>
      </c>
      <c r="J13" s="4">
        <v>0.35416666666666669</v>
      </c>
      <c r="K13" s="76">
        <f t="shared" si="2"/>
        <v>0.35416666666666669</v>
      </c>
      <c r="L13" s="71"/>
      <c r="M13" s="33">
        <f t="shared" si="3"/>
        <v>0</v>
      </c>
      <c r="P13" t="s">
        <v>139</v>
      </c>
      <c r="Q13" t="s">
        <v>40</v>
      </c>
      <c r="R13" t="s">
        <v>138</v>
      </c>
      <c r="S13" t="s">
        <v>38</v>
      </c>
    </row>
    <row r="14" spans="1:29" ht="15" thickTop="1" thickBot="1" x14ac:dyDescent="0.3">
      <c r="A14" s="2" t="s">
        <v>13</v>
      </c>
      <c r="B14" s="22">
        <v>44266</v>
      </c>
      <c r="C14" s="22"/>
      <c r="D14" s="3">
        <v>0.33333333333333331</v>
      </c>
      <c r="E14" s="3">
        <v>0.51041666666666663</v>
      </c>
      <c r="F14" s="3">
        <f t="shared" si="0"/>
        <v>0.17708333333333331</v>
      </c>
      <c r="G14" s="3">
        <v>0.54166666666666663</v>
      </c>
      <c r="H14" s="3">
        <v>0.71875</v>
      </c>
      <c r="I14" s="3">
        <f t="shared" si="1"/>
        <v>0.17708333333333337</v>
      </c>
      <c r="J14" s="4">
        <v>0.35416666666666669</v>
      </c>
      <c r="K14" s="76">
        <f t="shared" si="2"/>
        <v>0.35416666666666669</v>
      </c>
      <c r="L14" s="71"/>
      <c r="M14" s="33">
        <f t="shared" si="3"/>
        <v>0</v>
      </c>
      <c r="N14" t="s">
        <v>72</v>
      </c>
      <c r="O14" t="s">
        <v>82</v>
      </c>
      <c r="R14" t="s">
        <v>138</v>
      </c>
      <c r="S14" t="s">
        <v>52</v>
      </c>
    </row>
    <row r="15" spans="1:29" ht="15" thickTop="1" thickBot="1" x14ac:dyDescent="0.3">
      <c r="A15" s="2" t="s">
        <v>14</v>
      </c>
      <c r="B15" s="22">
        <v>44267</v>
      </c>
      <c r="C15" s="22"/>
      <c r="D15" s="3">
        <v>0.33333333333333331</v>
      </c>
      <c r="E15" s="3">
        <v>0.51041666666666663</v>
      </c>
      <c r="F15" s="3">
        <f t="shared" si="0"/>
        <v>0.17708333333333331</v>
      </c>
      <c r="G15" s="3">
        <v>0.54166666666666663</v>
      </c>
      <c r="H15" s="3">
        <v>0.67708333333333337</v>
      </c>
      <c r="I15" s="3">
        <f t="shared" si="1"/>
        <v>0.13541666666666674</v>
      </c>
      <c r="J15" s="4">
        <v>0.33333333333333331</v>
      </c>
      <c r="K15" s="76">
        <f t="shared" si="2"/>
        <v>0.31250000000000006</v>
      </c>
      <c r="L15" s="71"/>
      <c r="M15" s="33">
        <f t="shared" si="3"/>
        <v>-2.0833333333333259E-2</v>
      </c>
      <c r="P15" t="s">
        <v>3</v>
      </c>
      <c r="Q15" t="s">
        <v>54</v>
      </c>
      <c r="R15" t="s">
        <v>138</v>
      </c>
      <c r="S15" t="s">
        <v>160</v>
      </c>
      <c r="T15" t="s">
        <v>139</v>
      </c>
      <c r="U15" t="s">
        <v>54</v>
      </c>
    </row>
    <row r="16" spans="1:29" ht="1.2" customHeight="1" thickTop="1" thickBot="1" x14ac:dyDescent="0.3">
      <c r="A16" s="2" t="s">
        <v>15</v>
      </c>
      <c r="B16" s="22">
        <v>44268</v>
      </c>
      <c r="C16" s="22"/>
      <c r="D16" s="3"/>
      <c r="E16" s="3"/>
      <c r="F16" s="3">
        <f t="shared" si="0"/>
        <v>0</v>
      </c>
      <c r="G16" s="3"/>
      <c r="H16" s="3"/>
      <c r="I16" s="3">
        <f t="shared" si="1"/>
        <v>0</v>
      </c>
      <c r="J16" s="4"/>
      <c r="K16" s="76">
        <f t="shared" si="2"/>
        <v>0</v>
      </c>
      <c r="L16" s="71"/>
      <c r="M16" s="33">
        <f t="shared" si="3"/>
        <v>-2.0833333333333259E-2</v>
      </c>
    </row>
    <row r="17" spans="1:36" ht="1.2" customHeight="1" thickTop="1" thickBot="1" x14ac:dyDescent="0.3">
      <c r="A17" s="2" t="s">
        <v>16</v>
      </c>
      <c r="B17" s="22">
        <v>44269</v>
      </c>
      <c r="C17" s="22"/>
      <c r="D17" s="3"/>
      <c r="E17" s="3"/>
      <c r="F17" s="3">
        <f t="shared" si="0"/>
        <v>0</v>
      </c>
      <c r="G17" s="3"/>
      <c r="H17" s="3"/>
      <c r="I17" s="3">
        <f t="shared" si="1"/>
        <v>0</v>
      </c>
      <c r="J17" s="4"/>
      <c r="K17" s="76">
        <f t="shared" si="2"/>
        <v>0</v>
      </c>
      <c r="L17" s="71"/>
      <c r="M17" s="33">
        <f t="shared" si="3"/>
        <v>-2.0833333333333259E-2</v>
      </c>
    </row>
    <row r="18" spans="1:36" ht="15" thickTop="1" thickBot="1" x14ac:dyDescent="0.3">
      <c r="A18" s="2" t="s">
        <v>17</v>
      </c>
      <c r="B18" s="22">
        <v>44270</v>
      </c>
      <c r="C18" s="22"/>
      <c r="D18" s="3">
        <v>0.33333333333333331</v>
      </c>
      <c r="E18" s="3">
        <v>0.51041666666666663</v>
      </c>
      <c r="F18" s="3">
        <f t="shared" si="0"/>
        <v>0.17708333333333331</v>
      </c>
      <c r="G18" s="3">
        <v>0.54166666666666663</v>
      </c>
      <c r="H18" s="3">
        <v>0.73958333333333337</v>
      </c>
      <c r="I18" s="3">
        <f t="shared" si="1"/>
        <v>0.19791666666666674</v>
      </c>
      <c r="J18" s="4">
        <v>0.35416666666666669</v>
      </c>
      <c r="K18" s="76">
        <f t="shared" si="2"/>
        <v>0.37500000000000006</v>
      </c>
      <c r="L18" s="71"/>
      <c r="M18" s="33">
        <f t="shared" si="3"/>
        <v>0</v>
      </c>
      <c r="N18" t="s">
        <v>72</v>
      </c>
      <c r="O18" t="s">
        <v>109</v>
      </c>
      <c r="P18" t="s">
        <v>139</v>
      </c>
      <c r="Q18" t="s">
        <v>52</v>
      </c>
      <c r="R18" t="s">
        <v>138</v>
      </c>
      <c r="S18" t="s">
        <v>149</v>
      </c>
      <c r="T18" s="40" t="s">
        <v>88</v>
      </c>
      <c r="AH18" s="83"/>
    </row>
    <row r="19" spans="1:36" ht="15" thickTop="1" thickBot="1" x14ac:dyDescent="0.3">
      <c r="A19" s="2" t="s">
        <v>18</v>
      </c>
      <c r="B19" s="22">
        <v>44271</v>
      </c>
      <c r="C19" s="22"/>
      <c r="D19" s="3"/>
      <c r="E19" s="3"/>
      <c r="F19" s="3">
        <f t="shared" si="0"/>
        <v>0</v>
      </c>
      <c r="G19" s="3"/>
      <c r="H19" s="3">
        <v>0.35416666666666669</v>
      </c>
      <c r="I19" s="3">
        <f t="shared" si="1"/>
        <v>0.35416666666666669</v>
      </c>
      <c r="J19" s="4">
        <v>0.35416666666666669</v>
      </c>
      <c r="K19" s="76">
        <f t="shared" si="2"/>
        <v>0.35416666666666669</v>
      </c>
      <c r="L19" s="71"/>
      <c r="M19" s="33">
        <f t="shared" si="3"/>
        <v>0</v>
      </c>
      <c r="N19" t="s">
        <v>72</v>
      </c>
      <c r="O19" t="s">
        <v>50</v>
      </c>
      <c r="AH19" s="83"/>
    </row>
    <row r="20" spans="1:36" ht="15" thickTop="1" thickBot="1" x14ac:dyDescent="0.3">
      <c r="A20" s="2" t="s">
        <v>19</v>
      </c>
      <c r="B20" s="22">
        <v>44272</v>
      </c>
      <c r="C20" s="22"/>
      <c r="D20" s="3">
        <v>0.32291666666666669</v>
      </c>
      <c r="E20" s="3">
        <v>0.51041666666666663</v>
      </c>
      <c r="F20" s="3">
        <f t="shared" si="0"/>
        <v>0.18749999999999994</v>
      </c>
      <c r="G20" s="3">
        <v>0.54166666666666663</v>
      </c>
      <c r="H20" s="3">
        <v>0.71875</v>
      </c>
      <c r="I20" s="3">
        <f t="shared" si="1"/>
        <v>0.17708333333333337</v>
      </c>
      <c r="J20" s="4">
        <v>0.35416666666666669</v>
      </c>
      <c r="K20" s="76">
        <f t="shared" si="2"/>
        <v>0.36458333333333331</v>
      </c>
      <c r="L20" s="71"/>
      <c r="M20" s="33">
        <f t="shared" si="3"/>
        <v>1.041666666666663E-2</v>
      </c>
      <c r="P20" t="s">
        <v>150</v>
      </c>
      <c r="Q20" t="s">
        <v>82</v>
      </c>
      <c r="R20" t="s">
        <v>138</v>
      </c>
      <c r="S20" t="s">
        <v>157</v>
      </c>
      <c r="T20" s="40" t="s">
        <v>129</v>
      </c>
      <c r="AH20" s="83"/>
      <c r="AJ20" t="s">
        <v>163</v>
      </c>
    </row>
    <row r="21" spans="1:36" ht="15" thickTop="1" thickBot="1" x14ac:dyDescent="0.3">
      <c r="A21" s="2" t="s">
        <v>13</v>
      </c>
      <c r="B21" s="22">
        <v>44273</v>
      </c>
      <c r="C21" s="22"/>
      <c r="D21" s="3">
        <v>0.34375</v>
      </c>
      <c r="E21" s="3">
        <v>0.51041666666666663</v>
      </c>
      <c r="F21" s="3">
        <f t="shared" si="0"/>
        <v>0.16666666666666663</v>
      </c>
      <c r="G21" s="3">
        <v>0.54166666666666663</v>
      </c>
      <c r="H21" s="3">
        <v>0.75</v>
      </c>
      <c r="I21" s="3">
        <f t="shared" si="1"/>
        <v>0.20833333333333337</v>
      </c>
      <c r="J21" s="4">
        <v>0.35416666666666669</v>
      </c>
      <c r="K21" s="76">
        <f t="shared" si="2"/>
        <v>0.375</v>
      </c>
      <c r="L21" s="71"/>
      <c r="M21" s="33">
        <f t="shared" si="3"/>
        <v>3.1249999999999944E-2</v>
      </c>
      <c r="P21" t="s">
        <v>138</v>
      </c>
      <c r="Q21" t="s">
        <v>158</v>
      </c>
      <c r="R21" t="s">
        <v>152</v>
      </c>
      <c r="S21" t="s">
        <v>52</v>
      </c>
      <c r="T21" t="s">
        <v>151</v>
      </c>
      <c r="U21" t="s">
        <v>74</v>
      </c>
      <c r="V21" s="40" t="s">
        <v>88</v>
      </c>
      <c r="AH21" s="83"/>
    </row>
    <row r="22" spans="1:36" ht="15" thickTop="1" thickBot="1" x14ac:dyDescent="0.3">
      <c r="A22" s="2" t="s">
        <v>14</v>
      </c>
      <c r="B22" s="22">
        <v>44274</v>
      </c>
      <c r="C22" s="22"/>
      <c r="D22" s="3">
        <v>0.33333333333333331</v>
      </c>
      <c r="E22" s="3">
        <v>0.51041666666666663</v>
      </c>
      <c r="F22" s="3">
        <f t="shared" si="0"/>
        <v>0.17708333333333331</v>
      </c>
      <c r="G22" s="3">
        <v>0.54166666666666663</v>
      </c>
      <c r="H22" s="3">
        <v>0.67708333333333337</v>
      </c>
      <c r="I22" s="3">
        <f t="shared" si="1"/>
        <v>0.13541666666666674</v>
      </c>
      <c r="J22" s="4">
        <v>0.33333333333333331</v>
      </c>
      <c r="K22" s="76">
        <f t="shared" si="2"/>
        <v>0.31250000000000006</v>
      </c>
      <c r="L22" s="71"/>
      <c r="M22" s="33">
        <f t="shared" si="3"/>
        <v>1.0416666666666685E-2</v>
      </c>
      <c r="P22" t="s">
        <v>155</v>
      </c>
      <c r="Q22" t="s">
        <v>38</v>
      </c>
      <c r="R22" t="s">
        <v>151</v>
      </c>
      <c r="S22" t="s">
        <v>52</v>
      </c>
      <c r="T22" t="s">
        <v>156</v>
      </c>
      <c r="U22" t="s">
        <v>159</v>
      </c>
      <c r="AC22" s="1">
        <v>44274</v>
      </c>
      <c r="AD22" s="7">
        <v>0.33333333333333331</v>
      </c>
      <c r="AE22" s="7">
        <v>0.66666666666666663</v>
      </c>
      <c r="AG22" s="7">
        <v>0.29166666666666669</v>
      </c>
      <c r="AH22" s="83" t="s">
        <v>161</v>
      </c>
      <c r="AI22" t="s">
        <v>45</v>
      </c>
    </row>
    <row r="23" spans="1:36" ht="1.2" customHeight="1" thickTop="1" thickBot="1" x14ac:dyDescent="0.3">
      <c r="A23" s="2" t="s">
        <v>15</v>
      </c>
      <c r="B23" s="22">
        <v>44275</v>
      </c>
      <c r="C23" s="22"/>
      <c r="D23" s="3"/>
      <c r="E23" s="3"/>
      <c r="F23" s="3">
        <f t="shared" si="0"/>
        <v>0</v>
      </c>
      <c r="G23" s="3"/>
      <c r="H23" s="3"/>
      <c r="I23" s="3">
        <f t="shared" si="1"/>
        <v>0</v>
      </c>
      <c r="J23" s="4"/>
      <c r="K23" s="76">
        <f t="shared" si="2"/>
        <v>0</v>
      </c>
      <c r="L23" s="71"/>
      <c r="M23" s="33">
        <f t="shared" si="3"/>
        <v>1.0416666666666685E-2</v>
      </c>
      <c r="AC23" s="1">
        <v>44275</v>
      </c>
      <c r="AH23" s="83"/>
    </row>
    <row r="24" spans="1:36" ht="1.2" customHeight="1" thickTop="1" thickBot="1" x14ac:dyDescent="0.3">
      <c r="A24" s="2" t="s">
        <v>16</v>
      </c>
      <c r="B24" s="22">
        <v>44276</v>
      </c>
      <c r="C24" s="22"/>
      <c r="D24" s="3"/>
      <c r="E24" s="3"/>
      <c r="F24" s="3">
        <f t="shared" si="0"/>
        <v>0</v>
      </c>
      <c r="G24" s="3"/>
      <c r="H24" s="3"/>
      <c r="I24" s="3">
        <f t="shared" si="1"/>
        <v>0</v>
      </c>
      <c r="J24" s="4"/>
      <c r="K24" s="76">
        <f t="shared" si="2"/>
        <v>0</v>
      </c>
      <c r="L24" s="71"/>
      <c r="M24" s="33">
        <f t="shared" si="3"/>
        <v>1.0416666666666685E-2</v>
      </c>
      <c r="AC24" s="1">
        <v>44276</v>
      </c>
      <c r="AH24" s="83"/>
    </row>
    <row r="25" spans="1:36" ht="15" thickTop="1" thickBot="1" x14ac:dyDescent="0.3">
      <c r="A25" s="2" t="s">
        <v>17</v>
      </c>
      <c r="B25" s="22">
        <v>44277</v>
      </c>
      <c r="C25" s="26"/>
      <c r="D25" s="72">
        <v>0.34375</v>
      </c>
      <c r="E25" s="72">
        <v>0.51041666666666663</v>
      </c>
      <c r="F25" s="72">
        <f t="shared" si="0"/>
        <v>0.16666666666666663</v>
      </c>
      <c r="G25" s="72">
        <v>0.54166666666666663</v>
      </c>
      <c r="H25" s="3">
        <v>0.71875</v>
      </c>
      <c r="I25" s="72">
        <f t="shared" si="1"/>
        <v>0.17708333333333337</v>
      </c>
      <c r="J25" s="4">
        <v>0.35416666666666669</v>
      </c>
      <c r="K25" s="76">
        <f t="shared" si="2"/>
        <v>0.34375</v>
      </c>
      <c r="L25" s="71"/>
      <c r="M25" s="33">
        <f t="shared" si="3"/>
        <v>0</v>
      </c>
      <c r="N25" t="s">
        <v>35</v>
      </c>
      <c r="O25" t="s">
        <v>40</v>
      </c>
      <c r="P25" t="s">
        <v>138</v>
      </c>
      <c r="Q25" t="s">
        <v>154</v>
      </c>
      <c r="R25" t="s">
        <v>166</v>
      </c>
      <c r="S25" t="s">
        <v>52</v>
      </c>
      <c r="AC25" s="1">
        <v>44277</v>
      </c>
      <c r="AD25" s="7">
        <v>0.35416666666666669</v>
      </c>
      <c r="AE25" s="7">
        <v>0.69791666666666663</v>
      </c>
      <c r="AG25" s="7">
        <v>0.32291666666666669</v>
      </c>
      <c r="AH25" s="83" t="s">
        <v>161</v>
      </c>
      <c r="AI25" t="s">
        <v>163</v>
      </c>
    </row>
    <row r="26" spans="1:36" ht="15" thickTop="1" thickBot="1" x14ac:dyDescent="0.3">
      <c r="A26" s="2" t="s">
        <v>18</v>
      </c>
      <c r="B26" s="22">
        <v>44278</v>
      </c>
      <c r="C26" s="22"/>
      <c r="D26" s="74"/>
      <c r="E26" s="74"/>
      <c r="F26" s="72">
        <f t="shared" si="0"/>
        <v>0</v>
      </c>
      <c r="G26" s="74"/>
      <c r="H26" s="3">
        <v>0.35416666666666669</v>
      </c>
      <c r="I26" s="72">
        <f t="shared" si="1"/>
        <v>0.35416666666666669</v>
      </c>
      <c r="J26" s="4">
        <v>0.35416666666666669</v>
      </c>
      <c r="K26" s="76">
        <f t="shared" si="2"/>
        <v>0.35416666666666669</v>
      </c>
      <c r="L26" s="71"/>
      <c r="M26" s="33">
        <f t="shared" si="3"/>
        <v>0</v>
      </c>
      <c r="N26" t="s">
        <v>35</v>
      </c>
      <c r="O26" t="s">
        <v>50</v>
      </c>
      <c r="AC26" s="1">
        <v>44278</v>
      </c>
      <c r="AD26" s="7">
        <v>0.35416666666666669</v>
      </c>
      <c r="AE26" s="7">
        <v>0.70833333333333337</v>
      </c>
      <c r="AG26" s="7">
        <v>0.33333333333333331</v>
      </c>
      <c r="AH26" s="83"/>
      <c r="AI26" t="s">
        <v>164</v>
      </c>
    </row>
    <row r="27" spans="1:36" ht="15" thickTop="1" thickBot="1" x14ac:dyDescent="0.3">
      <c r="A27" s="2" t="s">
        <v>19</v>
      </c>
      <c r="B27" s="22">
        <v>44279</v>
      </c>
      <c r="C27" s="22"/>
      <c r="D27" s="74">
        <v>0.34375</v>
      </c>
      <c r="E27" s="74">
        <v>0.51041666666666663</v>
      </c>
      <c r="F27" s="72">
        <f t="shared" si="0"/>
        <v>0.16666666666666663</v>
      </c>
      <c r="G27" s="74">
        <v>0.54166666666666663</v>
      </c>
      <c r="H27" s="3">
        <v>0.72916666666666663</v>
      </c>
      <c r="I27" s="72">
        <f t="shared" si="1"/>
        <v>0.1875</v>
      </c>
      <c r="J27" s="4">
        <v>0.35416666666666669</v>
      </c>
      <c r="K27" s="76">
        <f t="shared" si="2"/>
        <v>0.35416666666666663</v>
      </c>
      <c r="L27" s="71"/>
      <c r="M27" s="33">
        <f t="shared" si="3"/>
        <v>0</v>
      </c>
      <c r="P27" t="s">
        <v>140</v>
      </c>
      <c r="Q27" t="s">
        <v>48</v>
      </c>
      <c r="R27" t="s">
        <v>162</v>
      </c>
      <c r="S27" t="s">
        <v>56</v>
      </c>
      <c r="AC27" s="1">
        <v>44279</v>
      </c>
      <c r="AH27" s="83"/>
    </row>
    <row r="28" spans="1:36" ht="15" thickTop="1" thickBot="1" x14ac:dyDescent="0.3">
      <c r="A28" s="2" t="s">
        <v>13</v>
      </c>
      <c r="B28" s="22">
        <v>44280</v>
      </c>
      <c r="C28" s="22"/>
      <c r="D28" s="74">
        <v>0.34375</v>
      </c>
      <c r="E28" s="74">
        <v>0.51041666666666663</v>
      </c>
      <c r="F28" s="72">
        <f t="shared" si="0"/>
        <v>0.16666666666666663</v>
      </c>
      <c r="G28" s="74">
        <v>0.54166666666666663</v>
      </c>
      <c r="H28" s="3">
        <v>0.72916666666666663</v>
      </c>
      <c r="I28" s="72">
        <f t="shared" si="1"/>
        <v>0.1875</v>
      </c>
      <c r="J28" s="4">
        <v>0.35416666666666669</v>
      </c>
      <c r="K28" s="76">
        <f t="shared" si="2"/>
        <v>0.35416666666666663</v>
      </c>
      <c r="L28" s="71"/>
      <c r="M28" s="33">
        <f t="shared" si="3"/>
        <v>0</v>
      </c>
      <c r="P28" t="s">
        <v>140</v>
      </c>
      <c r="Q28" t="s">
        <v>74</v>
      </c>
      <c r="R28" t="s">
        <v>165</v>
      </c>
      <c r="S28" t="s">
        <v>55</v>
      </c>
      <c r="AC28" s="1">
        <v>44280</v>
      </c>
      <c r="AH28" s="83"/>
    </row>
    <row r="29" spans="1:36" ht="15" thickTop="1" thickBot="1" x14ac:dyDescent="0.3">
      <c r="A29" s="2" t="s">
        <v>14</v>
      </c>
      <c r="B29" s="22">
        <v>44281</v>
      </c>
      <c r="C29" s="22"/>
      <c r="D29" s="74">
        <v>0.3125</v>
      </c>
      <c r="E29" s="74">
        <v>0.51041666666666663</v>
      </c>
      <c r="F29" s="72">
        <f t="shared" si="0"/>
        <v>0.19791666666666663</v>
      </c>
      <c r="G29" s="74">
        <v>0.54166666666666663</v>
      </c>
      <c r="H29" s="3">
        <v>0.67708333333333337</v>
      </c>
      <c r="I29" s="72">
        <f t="shared" si="1"/>
        <v>0.13541666666666674</v>
      </c>
      <c r="J29" s="4">
        <v>0.33333333333333331</v>
      </c>
      <c r="K29" s="76">
        <f t="shared" si="2"/>
        <v>0.33333333333333337</v>
      </c>
      <c r="L29" s="71"/>
      <c r="M29" s="33">
        <f t="shared" si="3"/>
        <v>0</v>
      </c>
      <c r="P29" t="s">
        <v>167</v>
      </c>
      <c r="Q29">
        <v>3</v>
      </c>
      <c r="R29" t="s">
        <v>138</v>
      </c>
      <c r="S29">
        <v>5</v>
      </c>
      <c r="AC29" s="1">
        <v>44281</v>
      </c>
      <c r="AH29" s="83"/>
    </row>
    <row r="30" spans="1:36" ht="1.2" customHeight="1" thickTop="1" thickBot="1" x14ac:dyDescent="0.3">
      <c r="A30" s="2" t="s">
        <v>15</v>
      </c>
      <c r="B30" s="22">
        <v>44282</v>
      </c>
      <c r="C30" s="22"/>
      <c r="D30" s="74"/>
      <c r="E30" s="74"/>
      <c r="F30" s="72">
        <f t="shared" si="0"/>
        <v>0</v>
      </c>
      <c r="G30" s="74"/>
      <c r="H30" s="3"/>
      <c r="I30" s="72">
        <f t="shared" si="1"/>
        <v>0</v>
      </c>
      <c r="J30" s="74"/>
      <c r="K30" s="76">
        <f t="shared" si="2"/>
        <v>0</v>
      </c>
      <c r="L30" s="71"/>
      <c r="M30" s="33">
        <f t="shared" si="3"/>
        <v>0</v>
      </c>
      <c r="AC30" s="1">
        <v>44282</v>
      </c>
      <c r="AH30" s="83"/>
    </row>
    <row r="31" spans="1:36" ht="1.2" customHeight="1" thickTop="1" thickBot="1" x14ac:dyDescent="0.3">
      <c r="A31" s="2" t="s">
        <v>16</v>
      </c>
      <c r="B31" s="22">
        <v>44283</v>
      </c>
      <c r="C31" s="22"/>
      <c r="D31" s="74"/>
      <c r="E31" s="74"/>
      <c r="F31" s="72">
        <f t="shared" si="0"/>
        <v>0</v>
      </c>
      <c r="G31" s="74"/>
      <c r="H31" s="3"/>
      <c r="I31" s="72">
        <f t="shared" si="1"/>
        <v>0</v>
      </c>
      <c r="J31" s="74"/>
      <c r="K31" s="76">
        <f t="shared" si="2"/>
        <v>0</v>
      </c>
      <c r="L31" s="71"/>
      <c r="M31" s="33">
        <f t="shared" si="3"/>
        <v>0</v>
      </c>
      <c r="AC31" s="1">
        <v>44283</v>
      </c>
      <c r="AH31" s="83"/>
    </row>
    <row r="32" spans="1:36" ht="15" thickTop="1" thickBot="1" x14ac:dyDescent="0.3">
      <c r="A32" s="2" t="s">
        <v>17</v>
      </c>
      <c r="B32" s="22">
        <v>44284</v>
      </c>
      <c r="C32" s="22"/>
      <c r="D32" s="74">
        <v>0.33333333333333331</v>
      </c>
      <c r="E32" s="74">
        <v>0.51041666666666663</v>
      </c>
      <c r="F32" s="72">
        <f t="shared" si="0"/>
        <v>0.17708333333333331</v>
      </c>
      <c r="G32" s="74">
        <v>0.54166666666666663</v>
      </c>
      <c r="H32" s="3">
        <v>0.71875</v>
      </c>
      <c r="I32" s="72">
        <f t="shared" si="1"/>
        <v>0.17708333333333337</v>
      </c>
      <c r="J32" s="4">
        <v>0.35416666666666669</v>
      </c>
      <c r="K32" s="76">
        <f t="shared" si="2"/>
        <v>0.35416666666666669</v>
      </c>
      <c r="L32" s="71"/>
      <c r="M32" s="33">
        <f t="shared" si="3"/>
        <v>0</v>
      </c>
      <c r="N32" t="s">
        <v>41</v>
      </c>
      <c r="O32" t="s">
        <v>109</v>
      </c>
      <c r="P32" t="s">
        <v>168</v>
      </c>
      <c r="Q32" t="s">
        <v>109</v>
      </c>
      <c r="AC32" s="1">
        <v>44284</v>
      </c>
      <c r="AH32" s="83"/>
    </row>
    <row r="33" spans="1:39" ht="15" thickTop="1" thickBot="1" x14ac:dyDescent="0.3">
      <c r="A33" s="2" t="s">
        <v>18</v>
      </c>
      <c r="B33" s="22">
        <v>44285</v>
      </c>
      <c r="C33" s="22"/>
      <c r="D33" s="74"/>
      <c r="E33" s="74"/>
      <c r="F33" s="72">
        <f t="shared" si="0"/>
        <v>0</v>
      </c>
      <c r="G33" s="74"/>
      <c r="H33" s="3">
        <v>0.35416666666666669</v>
      </c>
      <c r="I33" s="72">
        <f t="shared" si="1"/>
        <v>0.35416666666666669</v>
      </c>
      <c r="J33" s="4">
        <v>0.35416666666666669</v>
      </c>
      <c r="K33" s="76">
        <f t="shared" si="2"/>
        <v>0.35416666666666669</v>
      </c>
      <c r="L33" s="71"/>
      <c r="M33" s="33">
        <f t="shared" si="3"/>
        <v>0</v>
      </c>
      <c r="N33" t="s">
        <v>35</v>
      </c>
      <c r="O33" t="s">
        <v>50</v>
      </c>
      <c r="AC33" s="1">
        <v>44285</v>
      </c>
      <c r="AH33" s="83"/>
    </row>
    <row r="34" spans="1:39" ht="15" thickTop="1" thickBot="1" x14ac:dyDescent="0.3">
      <c r="A34" s="2" t="s">
        <v>19</v>
      </c>
      <c r="B34" s="22">
        <v>44286</v>
      </c>
      <c r="C34" s="80"/>
      <c r="D34" s="74">
        <v>0.34375</v>
      </c>
      <c r="E34" s="74">
        <v>0.51041666666666663</v>
      </c>
      <c r="F34" s="3">
        <f t="shared" si="0"/>
        <v>0.16666666666666663</v>
      </c>
      <c r="G34" s="74">
        <v>0.54166666666666663</v>
      </c>
      <c r="H34" s="3">
        <v>0.72916666666666663</v>
      </c>
      <c r="I34" s="3">
        <f t="shared" si="1"/>
        <v>0.1875</v>
      </c>
      <c r="J34" s="4">
        <v>0.35416666666666669</v>
      </c>
      <c r="K34" s="76">
        <f t="shared" si="2"/>
        <v>0.35416666666666663</v>
      </c>
      <c r="L34" s="73"/>
      <c r="M34" s="33">
        <f t="shared" si="3"/>
        <v>0</v>
      </c>
      <c r="R34" t="s">
        <v>168</v>
      </c>
      <c r="S34" t="s">
        <v>52</v>
      </c>
      <c r="T34" t="s">
        <v>169</v>
      </c>
      <c r="U34" t="s">
        <v>54</v>
      </c>
      <c r="V34" t="s">
        <v>170</v>
      </c>
      <c r="W34" t="s">
        <v>51</v>
      </c>
      <c r="AC34" s="1">
        <v>44286</v>
      </c>
    </row>
    <row r="35" spans="1:39" ht="14.4" thickTop="1" x14ac:dyDescent="0.25">
      <c r="J35" s="46"/>
      <c r="W35" t="s">
        <v>140</v>
      </c>
    </row>
    <row r="36" spans="1:39" x14ac:dyDescent="0.25">
      <c r="J36" s="55"/>
      <c r="AD36" s="21"/>
      <c r="AE36" s="7"/>
      <c r="AF36" s="81"/>
      <c r="AG36" s="81"/>
      <c r="AH36" s="5"/>
      <c r="AI36" s="81"/>
      <c r="AJ36" s="5"/>
      <c r="AK36" s="5"/>
      <c r="AL36" s="55"/>
      <c r="AM36" s="82"/>
    </row>
    <row r="45" spans="1:39" ht="14.4" thickBot="1" x14ac:dyDescent="0.3">
      <c r="A45" t="s">
        <v>147</v>
      </c>
      <c r="B45" s="79"/>
      <c r="C45" s="79"/>
    </row>
    <row r="46" spans="1:39" ht="14.4" thickTop="1" x14ac:dyDescent="0.25">
      <c r="B46" s="78">
        <v>1</v>
      </c>
      <c r="C46" s="78">
        <v>6</v>
      </c>
    </row>
    <row r="47" spans="1:39" x14ac:dyDescent="0.25">
      <c r="B47" s="77">
        <v>1</v>
      </c>
      <c r="C47" s="77">
        <v>6</v>
      </c>
    </row>
    <row r="48" spans="1:39" x14ac:dyDescent="0.25">
      <c r="B48" s="77">
        <v>1</v>
      </c>
      <c r="C48" s="77">
        <v>6</v>
      </c>
    </row>
    <row r="49" spans="2:3" x14ac:dyDescent="0.25">
      <c r="B49" s="77">
        <v>1</v>
      </c>
      <c r="C49" s="77">
        <v>5</v>
      </c>
    </row>
    <row r="50" spans="2:3" x14ac:dyDescent="0.25">
      <c r="B50" s="77">
        <v>3</v>
      </c>
      <c r="C50" s="77">
        <v>5.5</v>
      </c>
    </row>
    <row r="51" spans="2:3" x14ac:dyDescent="0.25">
      <c r="B51" s="77">
        <v>3</v>
      </c>
      <c r="C51" s="77">
        <v>4.0999999999999996</v>
      </c>
    </row>
    <row r="52" spans="2:3" x14ac:dyDescent="0.25">
      <c r="B52" s="77">
        <v>1</v>
      </c>
      <c r="C52" s="77">
        <v>2</v>
      </c>
    </row>
    <row r="53" spans="2:3" x14ac:dyDescent="0.25">
      <c r="B53" s="77">
        <v>2</v>
      </c>
      <c r="C53" s="77">
        <v>5.5</v>
      </c>
    </row>
    <row r="54" spans="2:3" ht="14.4" thickBot="1" x14ac:dyDescent="0.3">
      <c r="B54" s="77">
        <v>1</v>
      </c>
      <c r="C54" s="77">
        <v>6</v>
      </c>
    </row>
    <row r="55" spans="2:3" ht="15" thickTop="1" thickBot="1" x14ac:dyDescent="0.3">
      <c r="B55" s="57">
        <f>B46+B47+B48+B49+B50+B51+B52+B53+B54</f>
        <v>14</v>
      </c>
      <c r="C55" s="57">
        <f>(C46*B46+C47*B47+C48*B48+C49*B49+C50*B50+C51*B51+C52*B52+C53*B53+C54*B54)/(B46+B47+B48+B49+B50+B51+B52+B53+B54)</f>
        <v>5.0571428571428569</v>
      </c>
    </row>
    <row r="56" spans="2:3" ht="14.4" thickTop="1" x14ac:dyDescent="0.25"/>
  </sheetData>
  <conditionalFormatting sqref="K4:K34">
    <cfRule type="expression" dxfId="99" priority="5">
      <formula>K4=0</formula>
    </cfRule>
    <cfRule type="expression" dxfId="98" priority="8">
      <formula>K4=J4</formula>
    </cfRule>
    <cfRule type="expression" dxfId="97" priority="9">
      <formula>K4&lt;J4</formula>
    </cfRule>
    <cfRule type="expression" dxfId="96" priority="10">
      <formula>K4&gt;J4</formula>
    </cfRule>
  </conditionalFormatting>
  <conditionalFormatting sqref="L8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O14">
    <cfRule type="iconSet" priority="6">
      <iconSet>
        <cfvo type="percent" val="0"/>
        <cfvo type="percent" val="33"/>
        <cfvo type="percent" val="67"/>
      </iconSet>
    </cfRule>
  </conditionalFormatting>
  <conditionalFormatting sqref="AM36">
    <cfRule type="expression" dxfId="95" priority="1">
      <formula>AM36=0</formula>
    </cfRule>
    <cfRule type="expression" dxfId="94" priority="2">
      <formula>AM36=AL36</formula>
    </cfRule>
    <cfRule type="expression" dxfId="93" priority="3">
      <formula>AM36&lt;AL36</formula>
    </cfRule>
    <cfRule type="expression" dxfId="92" priority="4">
      <formula>AM36&gt;AL36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theme="4" tint="0.59999389629810485"/>
    <pageSetUpPr fitToPage="1"/>
  </sheetPr>
  <dimension ref="A1:AP67"/>
  <sheetViews>
    <sheetView showZeros="0" topLeftCell="G3" zoomScale="130" zoomScaleNormal="130" zoomScaleSheetLayoutView="100" zoomScalePageLayoutView="40" workbookViewId="0">
      <selection activeCell="M24" sqref="M24"/>
    </sheetView>
  </sheetViews>
  <sheetFormatPr baseColWidth="10" defaultRowHeight="13.8" x14ac:dyDescent="0.25"/>
  <cols>
    <col min="2" max="5" width="9.296875" customWidth="1"/>
    <col min="6" max="6" width="7.5" customWidth="1"/>
    <col min="7" max="8" width="9.296875" customWidth="1"/>
    <col min="9" max="9" width="8.5" customWidth="1"/>
    <col min="10" max="11" width="9.296875" customWidth="1"/>
    <col min="12" max="12" width="1.59765625" customWidth="1"/>
    <col min="13" max="13" width="9.296875" customWidth="1"/>
    <col min="14" max="14" width="11.19921875" customWidth="1"/>
    <col min="15" max="15" width="5.296875" customWidth="1"/>
    <col min="17" max="17" width="5.296875" customWidth="1"/>
    <col min="18" max="18" width="19" customWidth="1"/>
    <col min="19" max="19" width="5.296875" customWidth="1"/>
    <col min="21" max="21" width="5.296875" customWidth="1"/>
    <col min="22" max="22" width="3.3984375" customWidth="1"/>
    <col min="23" max="23" width="5.796875" customWidth="1"/>
    <col min="24" max="24" width="1.59765625" customWidth="1"/>
    <col min="25" max="25" width="4.796875" customWidth="1"/>
    <col min="37" max="37" width="11.19921875" style="8" customWidth="1"/>
  </cols>
  <sheetData>
    <row r="1" spans="1:42" ht="13.95" customHeight="1" thickBot="1" x14ac:dyDescent="0.3"/>
    <row r="2" spans="1:42" ht="13.95" customHeight="1" thickTop="1" thickBot="1" x14ac:dyDescent="0.3">
      <c r="B2" s="456" t="s">
        <v>21</v>
      </c>
      <c r="C2" s="457"/>
      <c r="D2" s="457"/>
      <c r="E2" s="457"/>
      <c r="F2" s="457"/>
      <c r="G2" s="457"/>
      <c r="H2" s="457"/>
      <c r="I2" s="457"/>
      <c r="J2" s="457"/>
      <c r="K2" s="457"/>
      <c r="L2" s="458"/>
      <c r="M2" s="27">
        <v>0</v>
      </c>
      <c r="AC2" s="453" t="s">
        <v>0</v>
      </c>
      <c r="AD2" s="453"/>
    </row>
    <row r="3" spans="1:42" ht="13.95" customHeight="1" thickTop="1" thickBo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84" t="s">
        <v>26</v>
      </c>
      <c r="G3" s="19" t="s">
        <v>27</v>
      </c>
      <c r="H3" s="19" t="s">
        <v>28</v>
      </c>
      <c r="I3" s="84" t="s">
        <v>29</v>
      </c>
      <c r="J3" s="20" t="s">
        <v>20</v>
      </c>
      <c r="K3" s="19" t="s">
        <v>30</v>
      </c>
      <c r="L3" s="459"/>
      <c r="M3" s="24" t="s">
        <v>67</v>
      </c>
      <c r="AC3" t="s">
        <v>1</v>
      </c>
      <c r="AD3" t="s">
        <v>2</v>
      </c>
    </row>
    <row r="4" spans="1:42" ht="13.95" customHeight="1" thickTop="1" thickBot="1" x14ac:dyDescent="0.3">
      <c r="A4" s="21"/>
      <c r="B4" s="90" t="s">
        <v>19</v>
      </c>
      <c r="C4" s="22">
        <v>44136</v>
      </c>
      <c r="D4" s="3">
        <v>0.34375</v>
      </c>
      <c r="E4" s="3">
        <v>0.51041666666666663</v>
      </c>
      <c r="F4" s="85">
        <f>E4-D4</f>
        <v>0.16666666666666663</v>
      </c>
      <c r="G4" s="3">
        <v>0.54166666666666663</v>
      </c>
      <c r="H4" s="3">
        <v>0.72916666666666663</v>
      </c>
      <c r="I4" s="85">
        <f>H4-G4</f>
        <v>0.1875</v>
      </c>
      <c r="J4" s="4">
        <v>0.35416666666666669</v>
      </c>
      <c r="K4" s="4">
        <f>F4+I4</f>
        <v>0.35416666666666663</v>
      </c>
      <c r="L4" s="459"/>
      <c r="M4" s="25"/>
      <c r="O4" s="5"/>
      <c r="P4" t="s">
        <v>171</v>
      </c>
      <c r="Q4" t="s">
        <v>38</v>
      </c>
      <c r="R4" t="s">
        <v>138</v>
      </c>
      <c r="S4" t="s">
        <v>40</v>
      </c>
      <c r="AC4" t="s">
        <v>3</v>
      </c>
      <c r="AD4" t="s">
        <v>6</v>
      </c>
      <c r="AJ4" s="17"/>
      <c r="AK4" s="14"/>
      <c r="AL4" s="41"/>
      <c r="AM4" s="43"/>
      <c r="AN4" s="43"/>
      <c r="AO4" s="42"/>
      <c r="AP4" s="16"/>
    </row>
    <row r="5" spans="1:42" ht="13.95" customHeight="1" thickTop="1" thickBot="1" x14ac:dyDescent="0.3">
      <c r="A5" s="21"/>
      <c r="B5" s="90" t="s">
        <v>13</v>
      </c>
      <c r="C5" s="22">
        <v>44287</v>
      </c>
      <c r="D5" s="3">
        <v>0.34375</v>
      </c>
      <c r="E5" s="3">
        <v>0.51041666666666663</v>
      </c>
      <c r="F5" s="85">
        <f>E5-D5</f>
        <v>0.16666666666666663</v>
      </c>
      <c r="G5" s="3">
        <v>0.54166666666666663</v>
      </c>
      <c r="H5" s="3">
        <v>0.72916666666666663</v>
      </c>
      <c r="I5" s="85">
        <f>H5-G5</f>
        <v>0.1875</v>
      </c>
      <c r="J5" s="4">
        <v>0.35416666666666669</v>
      </c>
      <c r="K5" s="4">
        <f>F5+I5</f>
        <v>0.35416666666666663</v>
      </c>
      <c r="L5" s="459"/>
      <c r="M5" s="25">
        <f>M4+K5-J5</f>
        <v>0</v>
      </c>
      <c r="P5" s="7" t="s">
        <v>172</v>
      </c>
      <c r="Q5" t="s">
        <v>50</v>
      </c>
      <c r="AB5" t="s">
        <v>4</v>
      </c>
      <c r="AC5" t="s">
        <v>7</v>
      </c>
      <c r="AI5" s="1"/>
      <c r="AJ5" s="10"/>
      <c r="AK5" s="10"/>
      <c r="AL5" s="40"/>
      <c r="AN5" s="10"/>
    </row>
    <row r="6" spans="1:42" ht="13.95" customHeight="1" thickTop="1" thickBot="1" x14ac:dyDescent="0.3">
      <c r="A6" s="21"/>
      <c r="B6" s="90" t="s">
        <v>14</v>
      </c>
      <c r="C6" s="22">
        <v>44288</v>
      </c>
      <c r="D6" s="3"/>
      <c r="E6" s="3"/>
      <c r="F6" s="85">
        <f t="shared" ref="F6:F33" si="0">E6-D6</f>
        <v>0</v>
      </c>
      <c r="G6" s="3"/>
      <c r="H6" s="3">
        <v>0.33333333333333331</v>
      </c>
      <c r="I6" s="85">
        <f t="shared" ref="I6:I33" si="1">H6-G6</f>
        <v>0.33333333333333331</v>
      </c>
      <c r="J6" s="4">
        <v>0.33333333333333331</v>
      </c>
      <c r="K6" s="4">
        <f t="shared" ref="K6:K33" si="2">F6+I6</f>
        <v>0.33333333333333331</v>
      </c>
      <c r="L6" s="459"/>
      <c r="M6" s="25">
        <f t="shared" ref="M6:M21" si="3">M5+K6-J6</f>
        <v>0</v>
      </c>
      <c r="Q6" s="7"/>
      <c r="R6" s="7"/>
      <c r="AB6" t="s">
        <v>8</v>
      </c>
      <c r="AC6" t="s">
        <v>9</v>
      </c>
      <c r="AJ6" s="10"/>
      <c r="AK6" s="10"/>
      <c r="AL6" s="40"/>
      <c r="AN6" s="10"/>
    </row>
    <row r="7" spans="1:42" ht="13.95" hidden="1" customHeight="1" thickTop="1" thickBot="1" x14ac:dyDescent="0.3">
      <c r="A7" s="21"/>
      <c r="B7" s="90" t="s">
        <v>15</v>
      </c>
      <c r="C7" s="22">
        <v>44289</v>
      </c>
      <c r="D7" s="3"/>
      <c r="E7" s="3"/>
      <c r="F7" s="85">
        <f t="shared" si="0"/>
        <v>0</v>
      </c>
      <c r="G7" s="3"/>
      <c r="H7" s="3"/>
      <c r="I7" s="85">
        <f t="shared" si="1"/>
        <v>0</v>
      </c>
      <c r="J7" s="4"/>
      <c r="K7" s="4">
        <f t="shared" si="2"/>
        <v>0</v>
      </c>
      <c r="L7" s="459"/>
      <c r="M7" s="25">
        <f t="shared" si="3"/>
        <v>0</v>
      </c>
      <c r="R7" s="7"/>
      <c r="AB7" t="s">
        <v>5</v>
      </c>
      <c r="AC7" t="s">
        <v>10</v>
      </c>
      <c r="AJ7" s="10"/>
      <c r="AK7" s="10"/>
      <c r="AL7" s="40"/>
      <c r="AN7" s="10"/>
    </row>
    <row r="8" spans="1:42" ht="13.95" hidden="1" customHeight="1" thickTop="1" thickBot="1" x14ac:dyDescent="0.3">
      <c r="A8" s="21"/>
      <c r="B8" s="90" t="s">
        <v>16</v>
      </c>
      <c r="C8" s="22">
        <v>44290</v>
      </c>
      <c r="D8" s="3"/>
      <c r="E8" s="3"/>
      <c r="F8" s="85">
        <f t="shared" si="0"/>
        <v>0</v>
      </c>
      <c r="G8" s="3"/>
      <c r="H8" s="3"/>
      <c r="I8" s="85">
        <f t="shared" si="1"/>
        <v>0</v>
      </c>
      <c r="J8" s="4"/>
      <c r="K8" s="4">
        <f t="shared" si="2"/>
        <v>0</v>
      </c>
      <c r="L8" s="459"/>
      <c r="M8" s="25">
        <f t="shared" si="3"/>
        <v>0</v>
      </c>
      <c r="P8" s="7"/>
      <c r="R8" s="7"/>
      <c r="S8" s="7"/>
      <c r="T8" s="7"/>
      <c r="AB8" t="s">
        <v>12</v>
      </c>
      <c r="AC8" t="s">
        <v>11</v>
      </c>
      <c r="AJ8" s="10"/>
      <c r="AK8" s="10"/>
      <c r="AL8" s="40"/>
      <c r="AN8" s="10"/>
    </row>
    <row r="9" spans="1:42" ht="13.95" customHeight="1" thickTop="1" thickBot="1" x14ac:dyDescent="0.3">
      <c r="A9" s="21"/>
      <c r="B9" s="90" t="s">
        <v>17</v>
      </c>
      <c r="C9" s="22">
        <v>44291</v>
      </c>
      <c r="D9" s="3"/>
      <c r="E9" s="3"/>
      <c r="F9" s="85">
        <f t="shared" si="0"/>
        <v>0</v>
      </c>
      <c r="G9" s="3"/>
      <c r="H9" s="3">
        <v>0.35416666666666669</v>
      </c>
      <c r="I9" s="85">
        <f t="shared" si="1"/>
        <v>0.35416666666666669</v>
      </c>
      <c r="J9" s="4">
        <v>0.35416666666666669</v>
      </c>
      <c r="K9" s="4">
        <f t="shared" si="2"/>
        <v>0.35416666666666669</v>
      </c>
      <c r="L9" s="459"/>
      <c r="M9" s="25">
        <f t="shared" si="3"/>
        <v>0</v>
      </c>
      <c r="R9" s="7"/>
      <c r="AB9" t="s">
        <v>49</v>
      </c>
      <c r="AJ9" s="10"/>
      <c r="AK9" s="10"/>
      <c r="AL9" s="40"/>
      <c r="AN9" s="10"/>
    </row>
    <row r="10" spans="1:42" ht="13.95" customHeight="1" thickTop="1" thickBot="1" x14ac:dyDescent="0.3">
      <c r="A10" s="21"/>
      <c r="B10" s="90" t="s">
        <v>18</v>
      </c>
      <c r="C10" s="22">
        <v>44292</v>
      </c>
      <c r="D10" s="3">
        <v>0.34375</v>
      </c>
      <c r="E10" s="3">
        <v>0.51041666666666663</v>
      </c>
      <c r="F10" s="85">
        <f t="shared" si="0"/>
        <v>0.16666666666666663</v>
      </c>
      <c r="G10" s="3">
        <v>0.54166666666666663</v>
      </c>
      <c r="H10" s="3">
        <v>0.72916666666666663</v>
      </c>
      <c r="I10" s="85">
        <f t="shared" si="1"/>
        <v>0.1875</v>
      </c>
      <c r="J10" s="4">
        <v>0.35416666666666669</v>
      </c>
      <c r="K10" s="4">
        <f t="shared" si="2"/>
        <v>0.35416666666666663</v>
      </c>
      <c r="L10" s="459"/>
      <c r="M10" s="25">
        <f t="shared" si="3"/>
        <v>0</v>
      </c>
      <c r="P10" s="7" t="s">
        <v>173</v>
      </c>
      <c r="Q10" t="s">
        <v>38</v>
      </c>
      <c r="R10" s="7" t="s">
        <v>171</v>
      </c>
      <c r="S10" s="7" t="s">
        <v>40</v>
      </c>
      <c r="T10" s="7"/>
      <c r="U10" s="7"/>
      <c r="V10" s="83"/>
      <c r="X10" s="83"/>
      <c r="AJ10" s="10"/>
      <c r="AK10" s="10"/>
      <c r="AL10" s="40"/>
      <c r="AM10" s="40"/>
      <c r="AN10" s="10"/>
    </row>
    <row r="11" spans="1:42" ht="13.95" customHeight="1" thickTop="1" thickBot="1" x14ac:dyDescent="0.3">
      <c r="A11" s="21"/>
      <c r="B11" s="90" t="s">
        <v>19</v>
      </c>
      <c r="C11" s="22">
        <v>44293</v>
      </c>
      <c r="D11" s="3">
        <v>0.34375</v>
      </c>
      <c r="E11" s="3">
        <v>0.51041666666666663</v>
      </c>
      <c r="F11" s="85">
        <f>E11-D11</f>
        <v>0.16666666666666663</v>
      </c>
      <c r="G11" s="3">
        <v>0.54166666666666663</v>
      </c>
      <c r="H11" s="3">
        <v>0.76041666666666663</v>
      </c>
      <c r="I11" s="85">
        <f>H11-G11</f>
        <v>0.21875</v>
      </c>
      <c r="J11" s="4">
        <v>0.35416666666666669</v>
      </c>
      <c r="K11" s="4">
        <f>F11+I11</f>
        <v>0.38541666666666663</v>
      </c>
      <c r="L11" s="459"/>
      <c r="M11" s="25">
        <f t="shared" si="3"/>
        <v>3.1249999999999944E-2</v>
      </c>
      <c r="P11" s="7" t="s">
        <v>139</v>
      </c>
      <c r="Q11" t="s">
        <v>174</v>
      </c>
      <c r="T11" t="s">
        <v>86</v>
      </c>
      <c r="V11" s="83"/>
      <c r="W11" t="s">
        <v>86</v>
      </c>
      <c r="X11" s="83" t="s">
        <v>180</v>
      </c>
      <c r="Y11" t="s">
        <v>86</v>
      </c>
      <c r="AJ11" s="10"/>
      <c r="AK11" s="10"/>
      <c r="AL11" s="40"/>
      <c r="AM11" s="40"/>
      <c r="AN11" s="10"/>
    </row>
    <row r="12" spans="1:42" ht="13.95" customHeight="1" thickTop="1" thickBot="1" x14ac:dyDescent="0.3">
      <c r="A12" s="21"/>
      <c r="B12" s="90" t="s">
        <v>13</v>
      </c>
      <c r="C12" s="22">
        <v>44294</v>
      </c>
      <c r="D12" s="3">
        <v>0.34375</v>
      </c>
      <c r="E12" s="3">
        <v>0.51041666666666663</v>
      </c>
      <c r="F12" s="85">
        <f>E12-D12</f>
        <v>0.16666666666666663</v>
      </c>
      <c r="G12" s="3">
        <v>0.54166666666666663</v>
      </c>
      <c r="H12" s="3">
        <v>0.72916666666666663</v>
      </c>
      <c r="I12" s="85">
        <f>H12-G12</f>
        <v>0.1875</v>
      </c>
      <c r="J12" s="4">
        <v>0.35416666666666669</v>
      </c>
      <c r="K12" s="4">
        <f>F12+I12</f>
        <v>0.35416666666666663</v>
      </c>
      <c r="L12" s="459"/>
      <c r="M12" s="25">
        <f t="shared" si="3"/>
        <v>3.1249999999999889E-2</v>
      </c>
      <c r="P12" s="7" t="s">
        <v>139</v>
      </c>
      <c r="Q12" t="s">
        <v>38</v>
      </c>
      <c r="R12" t="s">
        <v>138</v>
      </c>
      <c r="S12" t="s">
        <v>40</v>
      </c>
      <c r="V12" s="83"/>
      <c r="X12" s="83"/>
      <c r="AJ12" s="10"/>
      <c r="AK12" s="10"/>
      <c r="AL12" s="40"/>
      <c r="AN12" s="10"/>
    </row>
    <row r="13" spans="1:42" ht="13.95" customHeight="1" thickTop="1" thickBot="1" x14ac:dyDescent="0.3">
      <c r="A13" s="21"/>
      <c r="B13" s="90" t="s">
        <v>14</v>
      </c>
      <c r="C13" s="22">
        <v>44295</v>
      </c>
      <c r="D13" s="3">
        <v>0.35416666666666669</v>
      </c>
      <c r="E13" s="3">
        <v>0.51041666666666663</v>
      </c>
      <c r="F13" s="85">
        <f t="shared" si="0"/>
        <v>0.15624999999999994</v>
      </c>
      <c r="G13" s="3">
        <v>0.54166666666666663</v>
      </c>
      <c r="H13" s="3">
        <v>0.69791666666666663</v>
      </c>
      <c r="I13" s="85">
        <f t="shared" si="1"/>
        <v>0.15625</v>
      </c>
      <c r="J13" s="4">
        <v>0.33333333333333331</v>
      </c>
      <c r="K13" s="4">
        <f t="shared" si="2"/>
        <v>0.31249999999999994</v>
      </c>
      <c r="L13" s="459"/>
      <c r="M13" s="25">
        <f t="shared" si="3"/>
        <v>1.0416666666666519E-2</v>
      </c>
      <c r="P13" s="7" t="s">
        <v>139</v>
      </c>
      <c r="Q13" t="s">
        <v>176</v>
      </c>
      <c r="R13" t="s">
        <v>175</v>
      </c>
      <c r="S13" t="s">
        <v>111</v>
      </c>
      <c r="V13" s="83"/>
      <c r="X13" s="83" t="s">
        <v>161</v>
      </c>
      <c r="Y13" t="s">
        <v>88</v>
      </c>
      <c r="AB13" t="s">
        <v>61</v>
      </c>
      <c r="AJ13" s="10"/>
      <c r="AK13" s="10"/>
      <c r="AL13" s="40"/>
      <c r="AN13" s="10"/>
    </row>
    <row r="14" spans="1:42" ht="13.95" hidden="1" customHeight="1" thickTop="1" thickBot="1" x14ac:dyDescent="0.3">
      <c r="A14" s="21"/>
      <c r="B14" s="90" t="s">
        <v>15</v>
      </c>
      <c r="C14" s="22">
        <v>44296</v>
      </c>
      <c r="D14" s="3"/>
      <c r="E14" s="3"/>
      <c r="F14" s="85">
        <f t="shared" si="0"/>
        <v>0</v>
      </c>
      <c r="G14" s="3"/>
      <c r="H14" s="3"/>
      <c r="I14" s="85">
        <f t="shared" si="1"/>
        <v>0</v>
      </c>
      <c r="J14" s="4"/>
      <c r="K14" s="4">
        <f t="shared" si="2"/>
        <v>0</v>
      </c>
      <c r="L14" s="459"/>
      <c r="M14" s="25">
        <f t="shared" si="3"/>
        <v>1.0416666666666519E-2</v>
      </c>
      <c r="V14" s="83"/>
      <c r="X14" s="83"/>
      <c r="AB14" t="s">
        <v>62</v>
      </c>
      <c r="AJ14" s="10"/>
      <c r="AK14" s="10"/>
      <c r="AL14" s="40"/>
      <c r="AN14" s="10"/>
    </row>
    <row r="15" spans="1:42" ht="13.95" hidden="1" customHeight="1" thickTop="1" thickBot="1" x14ac:dyDescent="0.3">
      <c r="A15" s="21"/>
      <c r="B15" s="90" t="s">
        <v>16</v>
      </c>
      <c r="C15" s="22">
        <v>44297</v>
      </c>
      <c r="D15" s="3"/>
      <c r="E15" s="3"/>
      <c r="F15" s="85">
        <f t="shared" si="0"/>
        <v>0</v>
      </c>
      <c r="G15" s="3"/>
      <c r="H15" s="3"/>
      <c r="I15" s="85">
        <f t="shared" si="1"/>
        <v>0</v>
      </c>
      <c r="J15" s="4"/>
      <c r="K15" s="4">
        <f t="shared" si="2"/>
        <v>0</v>
      </c>
      <c r="L15" s="459"/>
      <c r="M15" s="25">
        <f t="shared" si="3"/>
        <v>1.0416666666666519E-2</v>
      </c>
      <c r="P15" s="7"/>
      <c r="V15" s="83"/>
      <c r="X15" s="83"/>
      <c r="AB15" t="s">
        <v>63</v>
      </c>
      <c r="AJ15" s="10"/>
      <c r="AK15" s="10"/>
      <c r="AL15" s="40"/>
      <c r="AN15" s="10"/>
    </row>
    <row r="16" spans="1:42" ht="13.95" customHeight="1" thickTop="1" thickBot="1" x14ac:dyDescent="0.3">
      <c r="A16" s="21"/>
      <c r="B16" s="90" t="s">
        <v>17</v>
      </c>
      <c r="C16" s="22">
        <v>44298</v>
      </c>
      <c r="D16" s="3">
        <v>0.33333333333333331</v>
      </c>
      <c r="E16" s="3">
        <v>0.51041666666666663</v>
      </c>
      <c r="F16" s="85">
        <f t="shared" si="0"/>
        <v>0.17708333333333331</v>
      </c>
      <c r="G16" s="3">
        <v>0.54166666666666663</v>
      </c>
      <c r="H16" s="3">
        <v>0.73958333333333337</v>
      </c>
      <c r="I16" s="85">
        <f t="shared" si="1"/>
        <v>0.19791666666666674</v>
      </c>
      <c r="J16" s="4">
        <v>0.35416666666666669</v>
      </c>
      <c r="K16" s="4">
        <f t="shared" si="2"/>
        <v>0.37500000000000006</v>
      </c>
      <c r="L16" s="459"/>
      <c r="M16" s="25">
        <f t="shared" si="3"/>
        <v>3.1249999999999889E-2</v>
      </c>
      <c r="P16" s="7" t="s">
        <v>35</v>
      </c>
      <c r="Q16" t="s">
        <v>109</v>
      </c>
      <c r="R16" s="7" t="s">
        <v>139</v>
      </c>
      <c r="S16" t="s">
        <v>177</v>
      </c>
      <c r="V16" s="83"/>
      <c r="W16" t="s">
        <v>86</v>
      </c>
      <c r="X16" s="83" t="s">
        <v>180</v>
      </c>
      <c r="Y16" t="s">
        <v>88</v>
      </c>
      <c r="AB16" t="s">
        <v>64</v>
      </c>
      <c r="AJ16" s="10"/>
      <c r="AK16" s="10"/>
      <c r="AL16" s="40"/>
      <c r="AN16" s="10"/>
    </row>
    <row r="17" spans="1:40" ht="13.95" customHeight="1" thickTop="1" thickBot="1" x14ac:dyDescent="0.3">
      <c r="A17" s="21"/>
      <c r="B17" s="91" t="s">
        <v>18</v>
      </c>
      <c r="C17" s="86">
        <v>44299</v>
      </c>
      <c r="D17" s="87"/>
      <c r="E17" s="87"/>
      <c r="F17" s="87">
        <f t="shared" si="0"/>
        <v>0</v>
      </c>
      <c r="G17" s="87"/>
      <c r="H17" s="87">
        <v>0.35416666666666669</v>
      </c>
      <c r="I17" s="87">
        <f t="shared" si="1"/>
        <v>0.35416666666666669</v>
      </c>
      <c r="J17" s="88">
        <v>0.35416666666666669</v>
      </c>
      <c r="K17" s="88">
        <f t="shared" si="2"/>
        <v>0.35416666666666669</v>
      </c>
      <c r="L17" s="459"/>
      <c r="M17" s="25">
        <f t="shared" si="3"/>
        <v>3.1249999999999889E-2</v>
      </c>
      <c r="N17" t="s">
        <v>35</v>
      </c>
      <c r="V17" s="83"/>
      <c r="X17" s="83"/>
      <c r="AB17" t="s">
        <v>65</v>
      </c>
      <c r="AJ17" s="8"/>
      <c r="AK17"/>
      <c r="AL17" s="40"/>
      <c r="AM17" s="40"/>
      <c r="AN17" s="10"/>
    </row>
    <row r="18" spans="1:40" ht="13.95" customHeight="1" thickTop="1" thickBot="1" x14ac:dyDescent="0.3">
      <c r="A18" s="21"/>
      <c r="B18" s="90" t="s">
        <v>19</v>
      </c>
      <c r="C18" s="22">
        <v>44300</v>
      </c>
      <c r="D18" s="3">
        <v>0.35416666666666669</v>
      </c>
      <c r="E18" s="3">
        <v>0.51041666666666663</v>
      </c>
      <c r="F18" s="85">
        <f t="shared" si="0"/>
        <v>0.15624999999999994</v>
      </c>
      <c r="G18" s="3">
        <v>0.54166666666666663</v>
      </c>
      <c r="H18" s="3">
        <v>0.72916666666666663</v>
      </c>
      <c r="I18" s="85">
        <f t="shared" si="1"/>
        <v>0.1875</v>
      </c>
      <c r="J18" s="4">
        <v>0.35416666666666669</v>
      </c>
      <c r="K18" s="4">
        <f t="shared" si="2"/>
        <v>0.34374999999999994</v>
      </c>
      <c r="L18" s="459"/>
      <c r="M18" s="25">
        <f t="shared" si="3"/>
        <v>2.0833333333333148E-2</v>
      </c>
      <c r="P18" t="s">
        <v>138</v>
      </c>
      <c r="Q18" t="s">
        <v>38</v>
      </c>
      <c r="R18" t="s">
        <v>139</v>
      </c>
      <c r="S18" t="s">
        <v>179</v>
      </c>
      <c r="V18" s="83"/>
      <c r="W18" t="s">
        <v>88</v>
      </c>
      <c r="X18" s="83" t="s">
        <v>161</v>
      </c>
      <c r="Y18" t="s">
        <v>129</v>
      </c>
      <c r="AB18" t="s">
        <v>66</v>
      </c>
      <c r="AJ18" s="8"/>
      <c r="AK18"/>
      <c r="AL18" s="40"/>
      <c r="AM18" s="40"/>
    </row>
    <row r="19" spans="1:40" ht="13.95" customHeight="1" thickTop="1" thickBot="1" x14ac:dyDescent="0.3">
      <c r="A19" s="21"/>
      <c r="B19" s="90" t="s">
        <v>13</v>
      </c>
      <c r="C19" s="22">
        <v>44301</v>
      </c>
      <c r="D19" s="3">
        <v>0.34375</v>
      </c>
      <c r="E19" s="3">
        <v>0.51041666666666663</v>
      </c>
      <c r="F19" s="85">
        <f t="shared" si="0"/>
        <v>0.16666666666666663</v>
      </c>
      <c r="G19" s="3">
        <v>0.54166666666666663</v>
      </c>
      <c r="H19" s="3">
        <v>0.72916666666666663</v>
      </c>
      <c r="I19" s="85">
        <f t="shared" si="1"/>
        <v>0.1875</v>
      </c>
      <c r="J19" s="4">
        <v>0.35416666666666669</v>
      </c>
      <c r="K19" s="4">
        <f t="shared" si="2"/>
        <v>0.35416666666666663</v>
      </c>
      <c r="L19" s="459"/>
      <c r="M19" s="25">
        <f t="shared" si="3"/>
        <v>2.0833333333333093E-2</v>
      </c>
      <c r="P19" t="s">
        <v>139</v>
      </c>
      <c r="Q19">
        <v>8.5</v>
      </c>
      <c r="V19" s="83"/>
      <c r="AB19" t="s">
        <v>76</v>
      </c>
      <c r="AJ19" s="8"/>
      <c r="AK19"/>
      <c r="AL19" s="40"/>
    </row>
    <row r="20" spans="1:40" ht="13.95" customHeight="1" thickTop="1" thickBot="1" x14ac:dyDescent="0.3">
      <c r="A20" s="21"/>
      <c r="B20" s="90" t="s">
        <v>14</v>
      </c>
      <c r="C20" s="22">
        <v>44302</v>
      </c>
      <c r="D20" s="3">
        <v>0.33333333333333331</v>
      </c>
      <c r="E20" s="3">
        <v>0.51041666666666663</v>
      </c>
      <c r="F20" s="85">
        <f t="shared" si="0"/>
        <v>0.17708333333333331</v>
      </c>
      <c r="G20" s="3">
        <v>0.54166666666666663</v>
      </c>
      <c r="H20" s="3">
        <v>0.67708333333333337</v>
      </c>
      <c r="I20" s="85">
        <f t="shared" si="1"/>
        <v>0.13541666666666674</v>
      </c>
      <c r="J20" s="4">
        <v>0.33333333333333331</v>
      </c>
      <c r="K20" s="4">
        <f t="shared" si="2"/>
        <v>0.31250000000000006</v>
      </c>
      <c r="L20" s="459"/>
      <c r="M20" s="25">
        <f t="shared" si="3"/>
        <v>0</v>
      </c>
      <c r="P20" t="s">
        <v>140</v>
      </c>
      <c r="Q20" t="s">
        <v>178</v>
      </c>
      <c r="V20" s="83"/>
      <c r="X20" s="83" t="s">
        <v>161</v>
      </c>
      <c r="Y20" t="s">
        <v>88</v>
      </c>
      <c r="AB20" t="s">
        <v>79</v>
      </c>
      <c r="AJ20" s="8"/>
      <c r="AK20"/>
      <c r="AL20" s="40"/>
    </row>
    <row r="21" spans="1:40" ht="13.95" hidden="1" customHeight="1" thickTop="1" thickBot="1" x14ac:dyDescent="0.3">
      <c r="A21" s="21"/>
      <c r="B21" s="90" t="s">
        <v>15</v>
      </c>
      <c r="C21" s="22">
        <v>44303</v>
      </c>
      <c r="D21" s="3"/>
      <c r="E21" s="3"/>
      <c r="F21" s="85">
        <f t="shared" si="0"/>
        <v>0</v>
      </c>
      <c r="G21" s="3"/>
      <c r="H21" s="3"/>
      <c r="I21" s="85">
        <f t="shared" si="1"/>
        <v>0</v>
      </c>
      <c r="J21" s="4"/>
      <c r="K21" s="4">
        <f t="shared" si="2"/>
        <v>0</v>
      </c>
      <c r="L21" s="459"/>
      <c r="M21" s="25">
        <f t="shared" si="3"/>
        <v>0</v>
      </c>
      <c r="V21" s="83"/>
      <c r="AB21" t="s">
        <v>78</v>
      </c>
      <c r="AJ21" s="8"/>
      <c r="AK21"/>
      <c r="AL21" s="40"/>
    </row>
    <row r="22" spans="1:40" ht="13.95" hidden="1" customHeight="1" thickTop="1" thickBot="1" x14ac:dyDescent="0.3">
      <c r="A22" s="21"/>
      <c r="B22" s="90" t="s">
        <v>16</v>
      </c>
      <c r="C22" s="22">
        <v>44304</v>
      </c>
      <c r="D22" s="3"/>
      <c r="E22" s="3"/>
      <c r="F22" s="85">
        <f t="shared" si="0"/>
        <v>0</v>
      </c>
      <c r="G22" s="3"/>
      <c r="H22" s="3"/>
      <c r="I22" s="85">
        <f t="shared" si="1"/>
        <v>0</v>
      </c>
      <c r="J22" s="4"/>
      <c r="K22" s="4">
        <f t="shared" si="2"/>
        <v>0</v>
      </c>
      <c r="L22" s="459"/>
      <c r="M22" s="25">
        <f>M21+K22-J22</f>
        <v>0</v>
      </c>
      <c r="V22" s="83"/>
      <c r="AJ22" s="8"/>
      <c r="AK22"/>
      <c r="AL22" s="40"/>
    </row>
    <row r="23" spans="1:40" ht="13.95" customHeight="1" thickTop="1" thickBot="1" x14ac:dyDescent="0.3">
      <c r="A23" s="21"/>
      <c r="B23" s="90" t="s">
        <v>17</v>
      </c>
      <c r="C23" s="22">
        <v>44305</v>
      </c>
      <c r="D23" s="3">
        <v>0.34375</v>
      </c>
      <c r="E23" s="3">
        <v>0.51041666666666663</v>
      </c>
      <c r="F23" s="85">
        <f t="shared" si="0"/>
        <v>0.16666666666666663</v>
      </c>
      <c r="G23" s="3">
        <v>0.54166666666666663</v>
      </c>
      <c r="H23" s="3">
        <v>0.72916666666666663</v>
      </c>
      <c r="I23" s="85">
        <f t="shared" si="1"/>
        <v>0.1875</v>
      </c>
      <c r="J23" s="4">
        <v>0.35416666666666669</v>
      </c>
      <c r="K23" s="4">
        <f t="shared" si="2"/>
        <v>0.35416666666666663</v>
      </c>
      <c r="L23" s="459"/>
      <c r="M23" s="25">
        <f>M22+K23-J23</f>
        <v>0</v>
      </c>
      <c r="N23" t="s">
        <v>35</v>
      </c>
      <c r="O23" t="s">
        <v>40</v>
      </c>
      <c r="P23" t="s">
        <v>181</v>
      </c>
      <c r="Q23" t="s">
        <v>38</v>
      </c>
      <c r="V23" s="83"/>
      <c r="AJ23" s="8"/>
      <c r="AK23"/>
    </row>
    <row r="24" spans="1:40" ht="13.95" customHeight="1" thickTop="1" thickBot="1" x14ac:dyDescent="0.3">
      <c r="A24" s="21"/>
      <c r="B24" s="91" t="s">
        <v>18</v>
      </c>
      <c r="C24" s="86">
        <v>44306</v>
      </c>
      <c r="D24" s="87"/>
      <c r="E24" s="87"/>
      <c r="F24" s="87">
        <f t="shared" si="0"/>
        <v>0</v>
      </c>
      <c r="G24" s="87"/>
      <c r="H24" s="87">
        <v>0.35416666666666669</v>
      </c>
      <c r="I24" s="87">
        <f t="shared" si="1"/>
        <v>0.35416666666666669</v>
      </c>
      <c r="J24" s="88">
        <v>0.35416666666666669</v>
      </c>
      <c r="K24" s="88">
        <f t="shared" si="2"/>
        <v>0.35416666666666669</v>
      </c>
      <c r="L24" s="459"/>
      <c r="M24" s="25">
        <f t="shared" ref="M24:M34" si="4">M23+K24-J24</f>
        <v>0</v>
      </c>
      <c r="N24" t="s">
        <v>35</v>
      </c>
      <c r="O24" t="s">
        <v>50</v>
      </c>
      <c r="AJ24" s="8"/>
      <c r="AK24"/>
    </row>
    <row r="25" spans="1:40" ht="13.95" customHeight="1" thickTop="1" thickBot="1" x14ac:dyDescent="0.3">
      <c r="A25" s="21"/>
      <c r="B25" s="90" t="s">
        <v>19</v>
      </c>
      <c r="C25" s="22">
        <v>44307</v>
      </c>
      <c r="D25" s="3">
        <v>0.33333333333333331</v>
      </c>
      <c r="E25" s="3">
        <v>0.51041666666666663</v>
      </c>
      <c r="F25" s="85">
        <f t="shared" si="0"/>
        <v>0.17708333333333331</v>
      </c>
      <c r="G25" s="3">
        <v>0.54166666666666663</v>
      </c>
      <c r="H25" s="3">
        <v>0.72916666666666663</v>
      </c>
      <c r="I25" s="85">
        <f t="shared" si="1"/>
        <v>0.1875</v>
      </c>
      <c r="J25" s="4">
        <v>0.35416666666666669</v>
      </c>
      <c r="K25" s="4">
        <f t="shared" si="2"/>
        <v>0.36458333333333331</v>
      </c>
      <c r="L25" s="459"/>
      <c r="M25" s="25">
        <f t="shared" si="4"/>
        <v>1.041666666666663E-2</v>
      </c>
      <c r="P25" t="s">
        <v>181</v>
      </c>
      <c r="Q25" t="s">
        <v>70</v>
      </c>
      <c r="AJ25" s="8"/>
      <c r="AK25"/>
    </row>
    <row r="26" spans="1:40" ht="13.95" customHeight="1" thickTop="1" thickBot="1" x14ac:dyDescent="0.3">
      <c r="A26" s="21"/>
      <c r="B26" s="90" t="s">
        <v>13</v>
      </c>
      <c r="C26" s="22">
        <v>44308</v>
      </c>
      <c r="D26" s="3">
        <v>0.34375</v>
      </c>
      <c r="E26" s="3">
        <v>0.51041666666666663</v>
      </c>
      <c r="F26" s="85">
        <f t="shared" si="0"/>
        <v>0.16666666666666663</v>
      </c>
      <c r="G26" s="3">
        <v>0.54166666666666663</v>
      </c>
      <c r="H26" s="3">
        <v>0.71875</v>
      </c>
      <c r="I26" s="85">
        <f t="shared" si="1"/>
        <v>0.17708333333333337</v>
      </c>
      <c r="J26" s="4">
        <v>0.35416666666666669</v>
      </c>
      <c r="K26" s="4">
        <f t="shared" si="2"/>
        <v>0.34375</v>
      </c>
      <c r="L26" s="459"/>
      <c r="M26" s="25">
        <f t="shared" si="4"/>
        <v>0</v>
      </c>
      <c r="P26" t="s">
        <v>181</v>
      </c>
      <c r="Q26" t="s">
        <v>182</v>
      </c>
      <c r="AJ26" s="8"/>
      <c r="AK26"/>
    </row>
    <row r="27" spans="1:40" ht="13.95" customHeight="1" thickTop="1" thickBot="1" x14ac:dyDescent="0.3">
      <c r="A27" s="21"/>
      <c r="B27" s="90" t="s">
        <v>14</v>
      </c>
      <c r="C27" s="22">
        <v>44309</v>
      </c>
      <c r="D27" s="3">
        <v>0.33333333333333331</v>
      </c>
      <c r="E27" s="3">
        <v>0.51041666666666663</v>
      </c>
      <c r="F27" s="85">
        <f t="shared" si="0"/>
        <v>0.17708333333333331</v>
      </c>
      <c r="G27" s="3">
        <v>0.54166666666666663</v>
      </c>
      <c r="H27" s="3">
        <v>0.69791666666666663</v>
      </c>
      <c r="I27" s="85">
        <f t="shared" si="1"/>
        <v>0.15625</v>
      </c>
      <c r="J27" s="4">
        <v>0.33333333333333331</v>
      </c>
      <c r="K27" s="4">
        <f t="shared" si="2"/>
        <v>0.33333333333333331</v>
      </c>
      <c r="L27" s="459"/>
      <c r="M27" s="25">
        <f t="shared" si="4"/>
        <v>0</v>
      </c>
      <c r="P27" t="s">
        <v>181</v>
      </c>
      <c r="Q27">
        <v>8</v>
      </c>
      <c r="AJ27" s="8"/>
      <c r="AK27"/>
    </row>
    <row r="28" spans="1:40" ht="13.95" hidden="1" customHeight="1" thickTop="1" thickBot="1" x14ac:dyDescent="0.3">
      <c r="A28" s="21"/>
      <c r="B28" s="90" t="s">
        <v>15</v>
      </c>
      <c r="C28" s="22">
        <v>44310</v>
      </c>
      <c r="D28" s="3"/>
      <c r="E28" s="3"/>
      <c r="F28" s="85">
        <f t="shared" si="0"/>
        <v>0</v>
      </c>
      <c r="G28" s="3"/>
      <c r="H28" s="3"/>
      <c r="I28" s="85">
        <f t="shared" si="1"/>
        <v>0</v>
      </c>
      <c r="J28" s="4"/>
      <c r="K28" s="4">
        <f t="shared" si="2"/>
        <v>0</v>
      </c>
      <c r="L28" s="459"/>
      <c r="M28" s="25">
        <f t="shared" si="4"/>
        <v>0</v>
      </c>
      <c r="AJ28" s="8"/>
      <c r="AK28"/>
    </row>
    <row r="29" spans="1:40" ht="13.95" hidden="1" customHeight="1" thickTop="1" thickBot="1" x14ac:dyDescent="0.3">
      <c r="A29" s="21"/>
      <c r="B29" s="90" t="s">
        <v>16</v>
      </c>
      <c r="C29" s="22">
        <v>44311</v>
      </c>
      <c r="D29" s="3"/>
      <c r="E29" s="3"/>
      <c r="F29" s="85">
        <f t="shared" si="0"/>
        <v>0</v>
      </c>
      <c r="G29" s="3"/>
      <c r="H29" s="3"/>
      <c r="I29" s="85">
        <f t="shared" si="1"/>
        <v>0</v>
      </c>
      <c r="J29" s="4"/>
      <c r="K29" s="4">
        <f t="shared" si="2"/>
        <v>0</v>
      </c>
      <c r="L29" s="459"/>
      <c r="M29" s="25">
        <f t="shared" si="4"/>
        <v>0</v>
      </c>
      <c r="AJ29" s="8"/>
      <c r="AK29"/>
    </row>
    <row r="30" spans="1:40" ht="13.95" customHeight="1" thickTop="1" thickBot="1" x14ac:dyDescent="0.3">
      <c r="A30" s="21"/>
      <c r="B30" s="90" t="s">
        <v>17</v>
      </c>
      <c r="C30" s="22">
        <v>44312</v>
      </c>
      <c r="D30" s="3">
        <v>0.34375</v>
      </c>
      <c r="E30" s="3">
        <v>0.51041666666666663</v>
      </c>
      <c r="F30" s="85">
        <f t="shared" si="0"/>
        <v>0.16666666666666663</v>
      </c>
      <c r="G30" s="3">
        <v>0.54166666666666663</v>
      </c>
      <c r="H30" s="3">
        <v>0.72916666666666663</v>
      </c>
      <c r="I30" s="85">
        <f t="shared" si="1"/>
        <v>0.1875</v>
      </c>
      <c r="J30" s="4">
        <v>0.35416666666666669</v>
      </c>
      <c r="K30" s="4">
        <f t="shared" si="2"/>
        <v>0.35416666666666663</v>
      </c>
      <c r="L30" s="459"/>
      <c r="M30" s="25">
        <f t="shared" si="4"/>
        <v>0</v>
      </c>
      <c r="N30" t="s">
        <v>35</v>
      </c>
      <c r="O30">
        <v>4</v>
      </c>
      <c r="P30" t="s">
        <v>183</v>
      </c>
      <c r="Q30">
        <v>4.5</v>
      </c>
      <c r="AJ30" s="8"/>
      <c r="AK30"/>
    </row>
    <row r="31" spans="1:40" ht="13.95" customHeight="1" thickTop="1" thickBot="1" x14ac:dyDescent="0.3">
      <c r="A31" s="21"/>
      <c r="B31" s="91" t="s">
        <v>18</v>
      </c>
      <c r="C31" s="86">
        <v>44313</v>
      </c>
      <c r="D31" s="87"/>
      <c r="E31" s="87"/>
      <c r="F31" s="87">
        <f t="shared" si="0"/>
        <v>0</v>
      </c>
      <c r="G31" s="87"/>
      <c r="H31" s="87">
        <v>0.35416666666666669</v>
      </c>
      <c r="I31" s="87">
        <f t="shared" si="1"/>
        <v>0.35416666666666669</v>
      </c>
      <c r="J31" s="88">
        <v>0.35416666666666669</v>
      </c>
      <c r="K31" s="88">
        <f t="shared" si="2"/>
        <v>0.35416666666666669</v>
      </c>
      <c r="L31" s="459"/>
      <c r="M31" s="25">
        <f t="shared" si="4"/>
        <v>0</v>
      </c>
      <c r="N31" t="s">
        <v>35</v>
      </c>
      <c r="O31">
        <v>8.5</v>
      </c>
      <c r="AJ31" s="8"/>
      <c r="AK31"/>
    </row>
    <row r="32" spans="1:40" ht="13.95" customHeight="1" thickTop="1" thickBot="1" x14ac:dyDescent="0.3">
      <c r="A32" s="21"/>
      <c r="B32" s="90" t="s">
        <v>19</v>
      </c>
      <c r="C32" s="22">
        <v>44314</v>
      </c>
      <c r="D32" s="3">
        <v>0.34375</v>
      </c>
      <c r="E32" s="3">
        <v>0.51041666666666663</v>
      </c>
      <c r="F32" s="85">
        <f t="shared" si="0"/>
        <v>0.16666666666666663</v>
      </c>
      <c r="G32" s="3">
        <v>0.54166666666666663</v>
      </c>
      <c r="H32" s="3">
        <v>0.75</v>
      </c>
      <c r="I32" s="85">
        <f t="shared" si="1"/>
        <v>0.20833333333333337</v>
      </c>
      <c r="J32" s="4">
        <v>0.35416666666666669</v>
      </c>
      <c r="K32" s="4">
        <f t="shared" si="2"/>
        <v>0.375</v>
      </c>
      <c r="L32" s="459"/>
      <c r="M32" s="25">
        <f t="shared" si="4"/>
        <v>2.0833333333333315E-2</v>
      </c>
      <c r="P32" t="s">
        <v>183</v>
      </c>
      <c r="Q32" t="s">
        <v>185</v>
      </c>
      <c r="AJ32" s="8"/>
      <c r="AK32"/>
    </row>
    <row r="33" spans="1:37" ht="13.95" customHeight="1" thickTop="1" thickBot="1" x14ac:dyDescent="0.3">
      <c r="A33" s="21"/>
      <c r="B33" s="90" t="s">
        <v>13</v>
      </c>
      <c r="C33" s="22">
        <v>44315</v>
      </c>
      <c r="D33" s="3">
        <v>0.33333333333333331</v>
      </c>
      <c r="E33" s="3">
        <v>0.51041666666666663</v>
      </c>
      <c r="F33" s="85">
        <f t="shared" si="0"/>
        <v>0.17708333333333331</v>
      </c>
      <c r="G33" s="3">
        <v>0.54166666666666663</v>
      </c>
      <c r="H33" s="3">
        <v>0.72916666666666663</v>
      </c>
      <c r="I33" s="85">
        <f t="shared" si="1"/>
        <v>0.1875</v>
      </c>
      <c r="J33" s="4">
        <v>0.35416666666666669</v>
      </c>
      <c r="K33" s="4">
        <f t="shared" si="2"/>
        <v>0.36458333333333331</v>
      </c>
      <c r="L33" s="460"/>
      <c r="M33" s="25">
        <f t="shared" si="4"/>
        <v>3.1249999999999944E-2</v>
      </c>
      <c r="P33" t="s">
        <v>183</v>
      </c>
      <c r="Q33" t="s">
        <v>186</v>
      </c>
      <c r="AJ33" s="8"/>
      <c r="AK33"/>
    </row>
    <row r="34" spans="1:37" ht="15" thickTop="1" thickBot="1" x14ac:dyDescent="0.3">
      <c r="B34" s="90" t="s">
        <v>14</v>
      </c>
      <c r="C34" s="22">
        <v>44316</v>
      </c>
      <c r="D34" s="3">
        <v>0.34375</v>
      </c>
      <c r="E34" s="3">
        <v>0.51041666666666663</v>
      </c>
      <c r="F34" s="85">
        <f>E34-D34</f>
        <v>0.16666666666666663</v>
      </c>
      <c r="G34" s="3">
        <v>0.54166666666666663</v>
      </c>
      <c r="H34" s="3">
        <v>0.67708333333333337</v>
      </c>
      <c r="I34" s="85">
        <f>H34-G34</f>
        <v>0.13541666666666674</v>
      </c>
      <c r="J34" s="4">
        <v>0.33333333333333331</v>
      </c>
      <c r="K34" s="4">
        <f>F34+I34</f>
        <v>0.30208333333333337</v>
      </c>
      <c r="M34" s="25">
        <f t="shared" si="4"/>
        <v>0</v>
      </c>
      <c r="P34" t="s">
        <v>183</v>
      </c>
      <c r="Q34" t="s">
        <v>184</v>
      </c>
    </row>
    <row r="35" spans="1:37" ht="14.4" thickTop="1" x14ac:dyDescent="0.25"/>
    <row r="37" spans="1:37" x14ac:dyDescent="0.25">
      <c r="C37" s="1"/>
    </row>
    <row r="38" spans="1:37" x14ac:dyDescent="0.25">
      <c r="C38" s="1"/>
    </row>
    <row r="39" spans="1:37" x14ac:dyDescent="0.25">
      <c r="C39" s="1"/>
    </row>
    <row r="40" spans="1:37" x14ac:dyDescent="0.25">
      <c r="C40" s="1"/>
    </row>
    <row r="41" spans="1:37" x14ac:dyDescent="0.25">
      <c r="C41" s="1"/>
    </row>
    <row r="42" spans="1:37" x14ac:dyDescent="0.25">
      <c r="C42" s="1"/>
    </row>
    <row r="43" spans="1:37" x14ac:dyDescent="0.25">
      <c r="O43" s="9"/>
      <c r="P43" s="10"/>
    </row>
    <row r="44" spans="1:37" x14ac:dyDescent="0.25">
      <c r="P44" s="1"/>
    </row>
    <row r="45" spans="1:37" x14ac:dyDescent="0.25">
      <c r="O45" s="9"/>
      <c r="R45" s="7"/>
    </row>
    <row r="46" spans="1:37" x14ac:dyDescent="0.25">
      <c r="O46" s="9"/>
      <c r="P46" s="10"/>
    </row>
    <row r="47" spans="1:37" x14ac:dyDescent="0.25">
      <c r="P47" s="1"/>
    </row>
    <row r="48" spans="1:37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</sheetData>
  <mergeCells count="3">
    <mergeCell ref="B2:K2"/>
    <mergeCell ref="L2:L33"/>
    <mergeCell ref="AC2:AD2"/>
  </mergeCells>
  <conditionalFormatting sqref="K4:K34">
    <cfRule type="expression" dxfId="91" priority="4">
      <formula>K4=0</formula>
    </cfRule>
    <cfRule type="expression" dxfId="90" priority="5">
      <formula>K4&gt;J4</formula>
    </cfRule>
    <cfRule type="expression" dxfId="89" priority="6">
      <formula>K4&lt;J4</formula>
    </cfRule>
    <cfRule type="expression" dxfId="88" priority="7">
      <formula>K4&gt;=J4</formula>
    </cfRule>
  </conditionalFormatting>
  <conditionalFormatting sqref="M5:M34">
    <cfRule type="expression" dxfId="87" priority="1">
      <formula>M4=M5</formula>
    </cfRule>
    <cfRule type="expression" dxfId="86" priority="2">
      <formula>M5&lt;M4</formula>
    </cfRule>
    <cfRule type="expression" dxfId="85" priority="3">
      <formula>M5&gt;M4</formula>
    </cfRule>
  </conditionalFormatting>
  <conditionalFormatting sqref="M23:M34">
    <cfRule type="expression" dxfId="84" priority="8">
      <formula>M23=0</formula>
    </cfRule>
    <cfRule type="expression" dxfId="83" priority="9">
      <formula>M23&gt;K23</formula>
    </cfRule>
    <cfRule type="expression" dxfId="82" priority="10">
      <formula>M23&lt;K23</formula>
    </cfRule>
    <cfRule type="expression" dxfId="81" priority="11">
      <formula>M23&gt;=K23</formula>
    </cfRule>
  </conditionalFormatting>
  <dataValidations disablePrompts="1" count="1">
    <dataValidation type="list" allowBlank="1" showInputMessage="1" showErrorMessage="1" sqref="D37:D67 F37:F67" xr:uid="{00000000-0002-0000-0700-000000000000}">
      <formula1>$AD$4:$AD$8</formula1>
    </dataValidation>
  </dataValidations>
  <pageMargins left="0.23622047244094491" right="0.23622047244094491" top="0.74803149606299213" bottom="0.74803149606299213" header="0.31496062992125984" footer="0.31496062992125984"/>
  <pageSetup paperSize="9" fitToWidth="5" fitToHeight="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theme="4" tint="0.39997558519241921"/>
    <pageSetUpPr fitToPage="1"/>
  </sheetPr>
  <dimension ref="A1:AP123"/>
  <sheetViews>
    <sheetView showZeros="0" zoomScaleNormal="100" zoomScaleSheetLayoutView="100" zoomScalePageLayoutView="40" workbookViewId="0">
      <selection activeCell="K16" sqref="K16"/>
    </sheetView>
  </sheetViews>
  <sheetFormatPr baseColWidth="10" defaultRowHeight="13.8" x14ac:dyDescent="0.25"/>
  <cols>
    <col min="2" max="5" width="9.296875" customWidth="1"/>
    <col min="6" max="6" width="7.5" customWidth="1"/>
    <col min="7" max="8" width="9.296875" customWidth="1"/>
    <col min="9" max="9" width="8.5" customWidth="1"/>
    <col min="10" max="11" width="9.296875" customWidth="1"/>
    <col min="12" max="12" width="1.59765625" customWidth="1"/>
    <col min="13" max="13" width="9.296875" customWidth="1"/>
    <col min="14" max="14" width="11.19921875" customWidth="1"/>
    <col min="15" max="15" width="5.296875" customWidth="1"/>
    <col min="17" max="17" width="5.296875" customWidth="1"/>
    <col min="18" max="18" width="12.59765625" customWidth="1"/>
    <col min="19" max="19" width="5.296875" customWidth="1"/>
    <col min="21" max="21" width="5.296875" customWidth="1"/>
    <col min="22" max="22" width="3.3984375" customWidth="1"/>
    <col min="23" max="23" width="5.796875" customWidth="1"/>
    <col min="24" max="24" width="1.59765625" customWidth="1"/>
    <col min="25" max="25" width="4.796875" customWidth="1"/>
    <col min="37" max="37" width="11.19921875" style="8" customWidth="1"/>
  </cols>
  <sheetData>
    <row r="1" spans="1:42" ht="13.95" customHeight="1" thickBot="1" x14ac:dyDescent="0.3">
      <c r="M1">
        <v>0</v>
      </c>
    </row>
    <row r="2" spans="1:42" ht="13.95" customHeight="1" thickTop="1" thickBot="1" x14ac:dyDescent="0.3">
      <c r="B2" s="456" t="s">
        <v>21</v>
      </c>
      <c r="C2" s="457"/>
      <c r="D2" s="457"/>
      <c r="E2" s="457"/>
      <c r="F2" s="457"/>
      <c r="G2" s="457"/>
      <c r="H2" s="457"/>
      <c r="I2" s="457"/>
      <c r="J2" s="457"/>
      <c r="K2" s="457"/>
      <c r="L2" s="458"/>
      <c r="M2" s="27">
        <v>0</v>
      </c>
      <c r="AC2" s="453" t="s">
        <v>0</v>
      </c>
      <c r="AD2" s="453"/>
    </row>
    <row r="3" spans="1:42" ht="13.95" customHeight="1" thickTop="1" thickBo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84" t="s">
        <v>26</v>
      </c>
      <c r="G3" s="19" t="s">
        <v>27</v>
      </c>
      <c r="H3" s="19" t="s">
        <v>28</v>
      </c>
      <c r="I3" s="84" t="s">
        <v>29</v>
      </c>
      <c r="J3" s="20" t="s">
        <v>20</v>
      </c>
      <c r="K3" s="19" t="s">
        <v>30</v>
      </c>
      <c r="L3" s="459"/>
      <c r="M3" s="24" t="s">
        <v>67</v>
      </c>
      <c r="AC3" t="s">
        <v>1</v>
      </c>
      <c r="AD3" t="s">
        <v>2</v>
      </c>
    </row>
    <row r="4" spans="1:42" ht="13.95" customHeight="1" thickTop="1" thickBot="1" x14ac:dyDescent="0.3">
      <c r="B4" s="90" t="s">
        <v>99</v>
      </c>
      <c r="C4" s="22">
        <v>44319</v>
      </c>
      <c r="D4" s="101">
        <v>0.33333333333333331</v>
      </c>
      <c r="E4" s="101">
        <v>0.51041666666666663</v>
      </c>
      <c r="F4" s="104">
        <f>E4-D4</f>
        <v>0.17708333333333331</v>
      </c>
      <c r="G4" s="101">
        <v>0.54166666666666663</v>
      </c>
      <c r="H4" s="101">
        <v>0.71875</v>
      </c>
      <c r="I4" s="104">
        <f>H4-G4</f>
        <v>0.17708333333333337</v>
      </c>
      <c r="J4" s="110">
        <v>0.35416666666666669</v>
      </c>
      <c r="K4" s="107">
        <f>F4+I4</f>
        <v>0.35416666666666669</v>
      </c>
      <c r="L4" s="459"/>
      <c r="M4" s="113">
        <f>M1+K4-J4</f>
        <v>0</v>
      </c>
      <c r="N4" t="s">
        <v>72</v>
      </c>
      <c r="O4" t="s">
        <v>109</v>
      </c>
      <c r="P4" t="s">
        <v>188</v>
      </c>
      <c r="Q4" t="s">
        <v>109</v>
      </c>
    </row>
    <row r="5" spans="1:42" ht="13.95" customHeight="1" thickTop="1" thickBot="1" x14ac:dyDescent="0.3">
      <c r="B5" s="90" t="s">
        <v>93</v>
      </c>
      <c r="C5" s="86">
        <v>44320</v>
      </c>
      <c r="D5" s="103"/>
      <c r="E5" s="102"/>
      <c r="F5" s="105">
        <f>E5-D5</f>
        <v>0</v>
      </c>
      <c r="G5" s="102"/>
      <c r="H5" s="103">
        <v>0.35416666666666669</v>
      </c>
      <c r="I5" s="105">
        <f>H5-G5</f>
        <v>0.35416666666666669</v>
      </c>
      <c r="J5" s="111">
        <v>0.35416666666666669</v>
      </c>
      <c r="K5" s="107">
        <f>F5+I5</f>
        <v>0.35416666666666669</v>
      </c>
      <c r="L5" s="459"/>
      <c r="M5" s="25">
        <f>M4+K5-J5</f>
        <v>0</v>
      </c>
      <c r="N5" t="s">
        <v>72</v>
      </c>
      <c r="O5" t="s">
        <v>50</v>
      </c>
    </row>
    <row r="6" spans="1:42" ht="13.95" customHeight="1" thickTop="1" thickBot="1" x14ac:dyDescent="0.3">
      <c r="A6" s="21"/>
      <c r="B6" s="90" t="s">
        <v>94</v>
      </c>
      <c r="C6" s="22">
        <v>44321</v>
      </c>
      <c r="D6" s="101">
        <v>0.34375</v>
      </c>
      <c r="E6" s="101">
        <v>0.51041666666666663</v>
      </c>
      <c r="F6" s="104">
        <f>E6-D6</f>
        <v>0.16666666666666663</v>
      </c>
      <c r="G6" s="101">
        <v>0.54166666666666663</v>
      </c>
      <c r="H6" s="101">
        <v>0.73958333333333337</v>
      </c>
      <c r="I6" s="104">
        <f>H6-G6</f>
        <v>0.19791666666666674</v>
      </c>
      <c r="J6" s="110">
        <v>0.35416666666666669</v>
      </c>
      <c r="K6" s="107">
        <f>F6+I6</f>
        <v>0.36458333333333337</v>
      </c>
      <c r="L6" s="459"/>
      <c r="M6" s="25">
        <f>M5+K6-J6</f>
        <v>1.0416666666666685E-2</v>
      </c>
      <c r="O6" s="5"/>
      <c r="P6" t="s">
        <v>171</v>
      </c>
      <c r="Q6" t="s">
        <v>191</v>
      </c>
      <c r="R6" t="s">
        <v>167</v>
      </c>
      <c r="S6" t="s">
        <v>187</v>
      </c>
      <c r="AC6" t="s">
        <v>3</v>
      </c>
      <c r="AD6" t="s">
        <v>6</v>
      </c>
      <c r="AJ6" s="17"/>
      <c r="AK6" s="14"/>
      <c r="AL6" s="41"/>
      <c r="AM6" s="43"/>
      <c r="AN6" s="43"/>
      <c r="AO6" s="42"/>
      <c r="AP6" s="16"/>
    </row>
    <row r="7" spans="1:42" ht="13.95" customHeight="1" thickTop="1" thickBot="1" x14ac:dyDescent="0.3">
      <c r="A7" s="21"/>
      <c r="B7" s="90" t="s">
        <v>95</v>
      </c>
      <c r="C7" s="22">
        <v>44322</v>
      </c>
      <c r="D7" s="101">
        <v>0.34375</v>
      </c>
      <c r="E7" s="101">
        <v>0.51041666666666663</v>
      </c>
      <c r="F7" s="104">
        <f>E7-D7</f>
        <v>0.16666666666666663</v>
      </c>
      <c r="G7" s="101">
        <v>0.54166666666666663</v>
      </c>
      <c r="H7" s="101">
        <v>0.75</v>
      </c>
      <c r="I7" s="104">
        <f>H7-G7</f>
        <v>0.20833333333333337</v>
      </c>
      <c r="J7" s="110">
        <v>0.35416666666666669</v>
      </c>
      <c r="K7" s="107">
        <f>F7+I7</f>
        <v>0.375</v>
      </c>
      <c r="L7" s="459"/>
      <c r="M7" s="25">
        <f>M6+K7-J7</f>
        <v>3.125E-2</v>
      </c>
      <c r="P7" s="7" t="s">
        <v>171</v>
      </c>
      <c r="Q7" t="s">
        <v>185</v>
      </c>
      <c r="AB7" t="s">
        <v>4</v>
      </c>
      <c r="AC7" t="s">
        <v>7</v>
      </c>
      <c r="AI7" s="1"/>
      <c r="AJ7" s="10"/>
      <c r="AK7" s="10"/>
      <c r="AL7" s="40"/>
      <c r="AN7" s="10"/>
    </row>
    <row r="8" spans="1:42" ht="13.95" customHeight="1" thickTop="1" thickBot="1" x14ac:dyDescent="0.3">
      <c r="A8" s="21"/>
      <c r="B8" s="90" t="s">
        <v>96</v>
      </c>
      <c r="C8" s="22">
        <v>44323</v>
      </c>
      <c r="D8" s="101">
        <v>0.34375</v>
      </c>
      <c r="E8" s="101">
        <v>0.51041666666666663</v>
      </c>
      <c r="F8" s="104">
        <f t="shared" ref="F8:F32" si="0">E8-D8</f>
        <v>0.16666666666666663</v>
      </c>
      <c r="G8" s="101">
        <v>0.54166666666666663</v>
      </c>
      <c r="H8" s="101">
        <v>0.67708333333333337</v>
      </c>
      <c r="I8" s="104">
        <f t="shared" ref="I8:I32" si="1">H8-G8</f>
        <v>0.13541666666666674</v>
      </c>
      <c r="J8" s="110">
        <v>0.33333333333333331</v>
      </c>
      <c r="K8" s="107">
        <f t="shared" ref="K8:K32" si="2">F8+I8</f>
        <v>0.30208333333333337</v>
      </c>
      <c r="L8" s="459"/>
      <c r="M8" s="25">
        <f t="shared" ref="M8:M23" si="3">M7+K8-J8</f>
        <v>0</v>
      </c>
      <c r="P8" t="s">
        <v>171</v>
      </c>
      <c r="Q8" s="7" t="s">
        <v>192</v>
      </c>
      <c r="R8" s="7"/>
      <c r="AB8" t="s">
        <v>8</v>
      </c>
      <c r="AC8" t="s">
        <v>9</v>
      </c>
      <c r="AJ8" s="10"/>
      <c r="AK8" s="10"/>
      <c r="AL8" s="40"/>
      <c r="AN8" s="10"/>
    </row>
    <row r="9" spans="1:42" s="95" customFormat="1" ht="1.2" customHeight="1" thickTop="1" thickBot="1" x14ac:dyDescent="0.3">
      <c r="A9" s="92"/>
      <c r="B9" s="93" t="s">
        <v>97</v>
      </c>
      <c r="C9" s="89">
        <v>44324</v>
      </c>
      <c r="D9" s="101"/>
      <c r="E9" s="101"/>
      <c r="F9" s="106">
        <f t="shared" si="0"/>
        <v>0</v>
      </c>
      <c r="G9" s="101"/>
      <c r="H9" s="101"/>
      <c r="I9" s="106">
        <f t="shared" si="1"/>
        <v>0</v>
      </c>
      <c r="J9" s="112"/>
      <c r="K9" s="109">
        <f t="shared" si="2"/>
        <v>0</v>
      </c>
      <c r="L9" s="459"/>
      <c r="M9" s="94">
        <f t="shared" si="3"/>
        <v>0</v>
      </c>
      <c r="R9" s="100"/>
      <c r="AB9" s="95" t="s">
        <v>5</v>
      </c>
      <c r="AC9" s="95" t="s">
        <v>10</v>
      </c>
      <c r="AJ9" s="99"/>
      <c r="AK9" s="99"/>
      <c r="AL9" s="98"/>
      <c r="AN9" s="99"/>
    </row>
    <row r="10" spans="1:42" s="95" customFormat="1" ht="1.2" customHeight="1" thickTop="1" thickBot="1" x14ac:dyDescent="0.3">
      <c r="A10" s="92"/>
      <c r="B10" s="93" t="s">
        <v>98</v>
      </c>
      <c r="C10" s="89">
        <v>44325</v>
      </c>
      <c r="D10" s="101"/>
      <c r="E10" s="101"/>
      <c r="F10" s="106">
        <f t="shared" si="0"/>
        <v>0</v>
      </c>
      <c r="G10" s="101"/>
      <c r="H10" s="101"/>
      <c r="I10" s="106">
        <f t="shared" si="1"/>
        <v>0</v>
      </c>
      <c r="J10" s="112"/>
      <c r="K10" s="109">
        <f t="shared" si="2"/>
        <v>0</v>
      </c>
      <c r="L10" s="459"/>
      <c r="M10" s="94">
        <f t="shared" si="3"/>
        <v>0</v>
      </c>
      <c r="P10" s="100"/>
      <c r="R10" s="100"/>
      <c r="S10" s="100"/>
      <c r="T10" s="100"/>
      <c r="AB10" s="95" t="s">
        <v>12</v>
      </c>
      <c r="AC10" s="95" t="s">
        <v>11</v>
      </c>
      <c r="AJ10" s="99"/>
      <c r="AK10" s="99"/>
      <c r="AL10" s="98"/>
      <c r="AN10" s="99"/>
    </row>
    <row r="11" spans="1:42" ht="13.95" customHeight="1" thickTop="1" thickBot="1" x14ac:dyDescent="0.3">
      <c r="A11" s="21"/>
      <c r="B11" s="90" t="s">
        <v>99</v>
      </c>
      <c r="C11" s="22">
        <v>44326</v>
      </c>
      <c r="D11" s="101">
        <v>0.33333333333333331</v>
      </c>
      <c r="E11" s="101">
        <v>0.51041666666666663</v>
      </c>
      <c r="F11" s="104">
        <f t="shared" si="0"/>
        <v>0.17708333333333331</v>
      </c>
      <c r="G11" s="101">
        <v>0.54166666666666663</v>
      </c>
      <c r="H11" s="101">
        <v>0.73958333333333337</v>
      </c>
      <c r="I11" s="104">
        <f t="shared" si="1"/>
        <v>0.19791666666666674</v>
      </c>
      <c r="J11" s="110">
        <v>0.35416666666666669</v>
      </c>
      <c r="K11" s="107">
        <f t="shared" si="2"/>
        <v>0.37500000000000006</v>
      </c>
      <c r="L11" s="459"/>
      <c r="M11" s="25">
        <f t="shared" si="3"/>
        <v>2.083333333333337E-2</v>
      </c>
      <c r="N11" t="s">
        <v>72</v>
      </c>
      <c r="O11" t="s">
        <v>109</v>
      </c>
      <c r="P11" t="s">
        <v>189</v>
      </c>
      <c r="Q11" t="s">
        <v>177</v>
      </c>
      <c r="R11" s="7"/>
      <c r="AB11" t="s">
        <v>49</v>
      </c>
      <c r="AJ11" s="10"/>
      <c r="AK11" s="10"/>
      <c r="AL11" s="40"/>
      <c r="AN11" s="10"/>
    </row>
    <row r="12" spans="1:42" ht="13.95" customHeight="1" thickTop="1" thickBot="1" x14ac:dyDescent="0.3">
      <c r="A12" s="21"/>
      <c r="B12" s="90" t="s">
        <v>93</v>
      </c>
      <c r="C12" s="86">
        <v>44327</v>
      </c>
      <c r="D12" s="103"/>
      <c r="E12" s="103"/>
      <c r="F12" s="105">
        <f t="shared" si="0"/>
        <v>0</v>
      </c>
      <c r="G12" s="103"/>
      <c r="H12" s="103">
        <v>0.35416666666666669</v>
      </c>
      <c r="I12" s="105">
        <f t="shared" si="1"/>
        <v>0.35416666666666669</v>
      </c>
      <c r="J12" s="111">
        <v>0.35416666666666669</v>
      </c>
      <c r="K12" s="107">
        <f t="shared" si="2"/>
        <v>0.35416666666666669</v>
      </c>
      <c r="L12" s="459"/>
      <c r="M12" s="25">
        <f t="shared" si="3"/>
        <v>2.083333333333337E-2</v>
      </c>
      <c r="N12" t="s">
        <v>72</v>
      </c>
      <c r="O12" t="s">
        <v>50</v>
      </c>
      <c r="P12" s="7"/>
      <c r="R12" s="7"/>
      <c r="S12" s="7"/>
      <c r="T12" s="7"/>
      <c r="U12" s="7"/>
      <c r="V12" s="83"/>
      <c r="X12" s="83"/>
      <c r="AJ12" s="10"/>
      <c r="AK12" s="10"/>
      <c r="AL12" s="40"/>
      <c r="AM12" s="40"/>
      <c r="AN12" s="10"/>
    </row>
    <row r="13" spans="1:42" ht="13.95" customHeight="1" thickTop="1" thickBot="1" x14ac:dyDescent="0.3">
      <c r="A13" s="21"/>
      <c r="B13" s="90" t="s">
        <v>94</v>
      </c>
      <c r="C13" s="22">
        <v>44328</v>
      </c>
      <c r="D13" s="101">
        <v>0.35416666666666669</v>
      </c>
      <c r="E13" s="101">
        <v>0.51041666666666663</v>
      </c>
      <c r="F13" s="104">
        <f>E13-D13</f>
        <v>0.15624999999999994</v>
      </c>
      <c r="G13" s="101">
        <v>0.54166666666666663</v>
      </c>
      <c r="H13" s="101">
        <v>0.75</v>
      </c>
      <c r="I13" s="104">
        <f>H13-G13</f>
        <v>0.20833333333333337</v>
      </c>
      <c r="J13" s="110">
        <v>0.35416666666666669</v>
      </c>
      <c r="K13" s="107">
        <f>F13+I13</f>
        <v>0.36458333333333331</v>
      </c>
      <c r="L13" s="459"/>
      <c r="M13" s="25">
        <f t="shared" si="3"/>
        <v>3.125E-2</v>
      </c>
      <c r="P13" s="7" t="s">
        <v>190</v>
      </c>
      <c r="Q13" t="s">
        <v>111</v>
      </c>
      <c r="R13" t="s">
        <v>200</v>
      </c>
      <c r="S13" t="s">
        <v>193</v>
      </c>
      <c r="V13" s="83"/>
      <c r="W13" t="s">
        <v>86</v>
      </c>
      <c r="X13" s="83" t="s">
        <v>180</v>
      </c>
      <c r="Y13" t="s">
        <v>86</v>
      </c>
      <c r="AJ13" s="10"/>
      <c r="AK13" s="10"/>
      <c r="AL13" s="40"/>
      <c r="AM13" s="40"/>
      <c r="AN13" s="10"/>
    </row>
    <row r="14" spans="1:42" ht="13.95" customHeight="1" thickTop="1" thickBot="1" x14ac:dyDescent="0.3">
      <c r="A14" s="21"/>
      <c r="B14" s="90" t="s">
        <v>95</v>
      </c>
      <c r="C14" s="22">
        <v>44329</v>
      </c>
      <c r="D14" s="101"/>
      <c r="E14" s="101"/>
      <c r="F14" s="104">
        <f>E14-D14</f>
        <v>0</v>
      </c>
      <c r="G14" s="101"/>
      <c r="H14" s="101"/>
      <c r="I14" s="104">
        <v>0.35416666666666669</v>
      </c>
      <c r="J14" s="110">
        <v>0.35416666666666669</v>
      </c>
      <c r="K14" s="107">
        <f>F14+I14</f>
        <v>0.35416666666666669</v>
      </c>
      <c r="L14" s="459"/>
      <c r="M14" s="25">
        <f t="shared" si="3"/>
        <v>3.125E-2</v>
      </c>
      <c r="N14" t="s">
        <v>194</v>
      </c>
      <c r="P14" s="7"/>
      <c r="V14" s="83"/>
      <c r="X14" s="83"/>
      <c r="AJ14" s="10"/>
      <c r="AK14" s="10"/>
      <c r="AL14" s="40"/>
      <c r="AN14" s="10"/>
    </row>
    <row r="15" spans="1:42" ht="15" thickTop="1" thickBot="1" x14ac:dyDescent="0.3">
      <c r="A15" s="21"/>
      <c r="B15" s="90" t="s">
        <v>96</v>
      </c>
      <c r="C15" s="22">
        <v>44330</v>
      </c>
      <c r="D15" s="101"/>
      <c r="E15" s="101"/>
      <c r="F15" s="104">
        <f t="shared" si="0"/>
        <v>0</v>
      </c>
      <c r="G15" s="101"/>
      <c r="H15" s="101"/>
      <c r="I15" s="104">
        <v>0.33333333333333331</v>
      </c>
      <c r="J15" s="110">
        <v>0.33333333333333331</v>
      </c>
      <c r="K15" s="107">
        <f t="shared" si="2"/>
        <v>0.33333333333333331</v>
      </c>
      <c r="L15" s="459"/>
      <c r="M15" s="25">
        <f t="shared" si="3"/>
        <v>3.125E-2</v>
      </c>
      <c r="N15" t="s">
        <v>194</v>
      </c>
      <c r="P15" s="7"/>
      <c r="V15" s="83"/>
      <c r="X15" s="83" t="s">
        <v>161</v>
      </c>
      <c r="Y15" t="s">
        <v>88</v>
      </c>
      <c r="AB15" t="s">
        <v>61</v>
      </c>
      <c r="AJ15" s="10"/>
      <c r="AK15" s="10"/>
      <c r="AL15" s="40"/>
      <c r="AN15" s="10"/>
    </row>
    <row r="16" spans="1:42" s="95" customFormat="1" ht="1.2" customHeight="1" thickTop="1" thickBot="1" x14ac:dyDescent="0.3">
      <c r="A16" s="92"/>
      <c r="B16" s="93" t="s">
        <v>97</v>
      </c>
      <c r="C16" s="89">
        <v>44331</v>
      </c>
      <c r="D16" s="101"/>
      <c r="E16" s="101"/>
      <c r="F16" s="106">
        <f t="shared" si="0"/>
        <v>0</v>
      </c>
      <c r="G16" s="101"/>
      <c r="H16" s="101"/>
      <c r="I16" s="106">
        <f t="shared" si="1"/>
        <v>0</v>
      </c>
      <c r="J16" s="112"/>
      <c r="K16" s="109">
        <f t="shared" si="2"/>
        <v>0</v>
      </c>
      <c r="L16" s="459"/>
      <c r="M16" s="94">
        <f t="shared" si="3"/>
        <v>3.125E-2</v>
      </c>
      <c r="V16" s="96"/>
      <c r="X16" s="96"/>
      <c r="AB16" s="95" t="s">
        <v>62</v>
      </c>
      <c r="AJ16" s="99"/>
      <c r="AK16" s="99"/>
      <c r="AL16" s="98"/>
      <c r="AN16" s="99"/>
    </row>
    <row r="17" spans="1:40" s="95" customFormat="1" ht="1.2" customHeight="1" thickTop="1" thickBot="1" x14ac:dyDescent="0.3">
      <c r="A17" s="92"/>
      <c r="B17" s="93" t="s">
        <v>98</v>
      </c>
      <c r="C17" s="89">
        <v>44332</v>
      </c>
      <c r="D17" s="101"/>
      <c r="E17" s="101"/>
      <c r="F17" s="106">
        <f t="shared" si="0"/>
        <v>0</v>
      </c>
      <c r="G17" s="101"/>
      <c r="H17" s="101"/>
      <c r="I17" s="106">
        <f t="shared" si="1"/>
        <v>0</v>
      </c>
      <c r="J17" s="112"/>
      <c r="K17" s="109">
        <f t="shared" si="2"/>
        <v>0</v>
      </c>
      <c r="L17" s="459"/>
      <c r="M17" s="94">
        <f t="shared" si="3"/>
        <v>3.125E-2</v>
      </c>
      <c r="P17" s="100"/>
      <c r="V17" s="96"/>
      <c r="X17" s="96"/>
      <c r="AB17" s="95" t="s">
        <v>63</v>
      </c>
      <c r="AJ17" s="99"/>
      <c r="AK17" s="99"/>
      <c r="AL17" s="98"/>
      <c r="AN17" s="99"/>
    </row>
    <row r="18" spans="1:40" ht="13.95" customHeight="1" thickTop="1" thickBot="1" x14ac:dyDescent="0.3">
      <c r="A18" s="21"/>
      <c r="B18" s="90" t="s">
        <v>99</v>
      </c>
      <c r="C18" s="22">
        <v>44333</v>
      </c>
      <c r="D18" s="101">
        <v>0.33333333333333331</v>
      </c>
      <c r="E18" s="101">
        <v>0.51041666666666663</v>
      </c>
      <c r="F18" s="104">
        <f t="shared" si="0"/>
        <v>0.17708333333333331</v>
      </c>
      <c r="G18" s="101">
        <v>0.54166666666666663</v>
      </c>
      <c r="H18" s="101">
        <v>0.73958333333333337</v>
      </c>
      <c r="I18" s="104">
        <f t="shared" si="1"/>
        <v>0.19791666666666674</v>
      </c>
      <c r="J18" s="110">
        <v>0.35416666666666669</v>
      </c>
      <c r="K18" s="107">
        <f t="shared" si="2"/>
        <v>0.37500000000000006</v>
      </c>
      <c r="L18" s="459"/>
      <c r="M18" s="25">
        <f t="shared" si="3"/>
        <v>5.208333333333337E-2</v>
      </c>
      <c r="N18" t="s">
        <v>72</v>
      </c>
      <c r="O18" t="s">
        <v>199</v>
      </c>
      <c r="P18" s="7" t="s">
        <v>171</v>
      </c>
      <c r="Q18" t="s">
        <v>53</v>
      </c>
      <c r="R18" s="7"/>
      <c r="V18" s="83"/>
      <c r="W18" t="s">
        <v>86</v>
      </c>
      <c r="X18" s="83" t="s">
        <v>180</v>
      </c>
      <c r="Y18" t="s">
        <v>88</v>
      </c>
      <c r="AB18" t="s">
        <v>64</v>
      </c>
      <c r="AJ18" s="10"/>
      <c r="AK18" s="10"/>
      <c r="AL18" s="40"/>
      <c r="AN18" s="10"/>
    </row>
    <row r="19" spans="1:40" ht="13.95" customHeight="1" thickTop="1" thickBot="1" x14ac:dyDescent="0.3">
      <c r="A19" s="21"/>
      <c r="B19" s="90" t="s">
        <v>93</v>
      </c>
      <c r="C19" s="86">
        <v>44334</v>
      </c>
      <c r="D19" s="103"/>
      <c r="E19" s="103"/>
      <c r="F19" s="105">
        <f t="shared" si="0"/>
        <v>0</v>
      </c>
      <c r="G19" s="103"/>
      <c r="H19" s="103">
        <v>0.35416666666666669</v>
      </c>
      <c r="I19" s="105">
        <f t="shared" si="1"/>
        <v>0.35416666666666669</v>
      </c>
      <c r="J19" s="111">
        <v>0.35416666666666669</v>
      </c>
      <c r="K19" s="108">
        <f t="shared" si="2"/>
        <v>0.35416666666666669</v>
      </c>
      <c r="L19" s="459"/>
      <c r="M19" s="25">
        <f t="shared" si="3"/>
        <v>5.208333333333337E-2</v>
      </c>
      <c r="N19" t="s">
        <v>72</v>
      </c>
      <c r="O19" t="s">
        <v>50</v>
      </c>
      <c r="V19" s="83"/>
      <c r="X19" s="83"/>
      <c r="AB19" t="s">
        <v>65</v>
      </c>
      <c r="AJ19" s="8"/>
      <c r="AK19"/>
      <c r="AL19" s="40"/>
      <c r="AM19" s="40"/>
      <c r="AN19" s="10"/>
    </row>
    <row r="20" spans="1:40" ht="13.95" customHeight="1" thickTop="1" thickBot="1" x14ac:dyDescent="0.3">
      <c r="A20" s="21"/>
      <c r="B20" s="90" t="s">
        <v>94</v>
      </c>
      <c r="C20" s="22">
        <v>44335</v>
      </c>
      <c r="D20" s="101">
        <v>0.35416666666666669</v>
      </c>
      <c r="E20" s="101">
        <v>0.51041666666666663</v>
      </c>
      <c r="F20" s="104">
        <f t="shared" si="0"/>
        <v>0.15624999999999994</v>
      </c>
      <c r="G20" s="101">
        <v>0.54166666666666663</v>
      </c>
      <c r="H20" s="101">
        <v>0.75</v>
      </c>
      <c r="I20" s="104">
        <f t="shared" si="1"/>
        <v>0.20833333333333337</v>
      </c>
      <c r="J20" s="110">
        <v>0.35416666666666669</v>
      </c>
      <c r="K20" s="107">
        <f t="shared" si="2"/>
        <v>0.36458333333333331</v>
      </c>
      <c r="L20" s="459"/>
      <c r="M20" s="25">
        <f t="shared" si="3"/>
        <v>6.25E-2</v>
      </c>
      <c r="P20" t="s">
        <v>171</v>
      </c>
      <c r="Q20" t="s">
        <v>197</v>
      </c>
      <c r="R20" t="s">
        <v>196</v>
      </c>
      <c r="S20" t="s">
        <v>52</v>
      </c>
      <c r="V20" s="83"/>
      <c r="W20" t="s">
        <v>88</v>
      </c>
      <c r="X20" s="83" t="s">
        <v>161</v>
      </c>
      <c r="Y20" t="s">
        <v>129</v>
      </c>
      <c r="AB20" t="s">
        <v>66</v>
      </c>
      <c r="AJ20" s="8"/>
      <c r="AK20"/>
      <c r="AL20" s="40"/>
      <c r="AM20" s="40"/>
    </row>
    <row r="21" spans="1:40" ht="13.95" customHeight="1" thickTop="1" thickBot="1" x14ac:dyDescent="0.3">
      <c r="A21" s="21"/>
      <c r="B21" s="90" t="s">
        <v>95</v>
      </c>
      <c r="C21" s="22">
        <v>44336</v>
      </c>
      <c r="D21" s="101">
        <v>0.35416666666666669</v>
      </c>
      <c r="E21" s="101">
        <v>0.51041666666666663</v>
      </c>
      <c r="F21" s="104">
        <f t="shared" si="0"/>
        <v>0.15624999999999994</v>
      </c>
      <c r="G21" s="101">
        <v>0.54166666666666663</v>
      </c>
      <c r="H21" s="101">
        <v>0.73958333333333337</v>
      </c>
      <c r="I21" s="104">
        <f t="shared" si="1"/>
        <v>0.19791666666666674</v>
      </c>
      <c r="J21" s="110">
        <v>0.35416666666666669</v>
      </c>
      <c r="K21" s="107">
        <f t="shared" si="2"/>
        <v>0.35416666666666669</v>
      </c>
      <c r="L21" s="459"/>
      <c r="M21" s="25">
        <f t="shared" si="3"/>
        <v>6.25E-2</v>
      </c>
      <c r="P21" t="s">
        <v>171</v>
      </c>
      <c r="Q21" t="s">
        <v>111</v>
      </c>
      <c r="R21" t="s">
        <v>195</v>
      </c>
      <c r="S21" t="s">
        <v>53</v>
      </c>
      <c r="V21" s="83"/>
      <c r="AB21" t="s">
        <v>76</v>
      </c>
      <c r="AJ21" s="8"/>
      <c r="AK21"/>
      <c r="AL21" s="40"/>
    </row>
    <row r="22" spans="1:40" ht="13.95" customHeight="1" thickTop="1" thickBot="1" x14ac:dyDescent="0.3">
      <c r="A22" s="21"/>
      <c r="B22" s="90" t="s">
        <v>96</v>
      </c>
      <c r="C22" s="22">
        <v>44337</v>
      </c>
      <c r="D22" s="101">
        <v>0.35416666666666669</v>
      </c>
      <c r="E22" s="101">
        <v>0.51041666666666663</v>
      </c>
      <c r="F22" s="104">
        <f t="shared" si="0"/>
        <v>0.15624999999999994</v>
      </c>
      <c r="G22" s="101">
        <v>0.54166666666666663</v>
      </c>
      <c r="H22" s="101">
        <v>0.69791666666666663</v>
      </c>
      <c r="I22" s="104">
        <f t="shared" si="1"/>
        <v>0.15625</v>
      </c>
      <c r="J22" s="110">
        <v>0.33333333333333331</v>
      </c>
      <c r="K22" s="107">
        <f t="shared" si="2"/>
        <v>0.31249999999999994</v>
      </c>
      <c r="L22" s="459"/>
      <c r="M22" s="25">
        <f t="shared" si="3"/>
        <v>4.166666666666663E-2</v>
      </c>
      <c r="N22" t="s">
        <v>72</v>
      </c>
      <c r="O22" t="s">
        <v>111</v>
      </c>
      <c r="P22" t="s">
        <v>198</v>
      </c>
      <c r="Q22" t="s">
        <v>111</v>
      </c>
      <c r="V22" s="83"/>
      <c r="X22" s="83" t="s">
        <v>161</v>
      </c>
      <c r="Y22" t="s">
        <v>88</v>
      </c>
      <c r="AB22" t="s">
        <v>79</v>
      </c>
      <c r="AJ22" s="8"/>
      <c r="AK22"/>
      <c r="AL22" s="40"/>
    </row>
    <row r="23" spans="1:40" s="95" customFormat="1" ht="1.2" customHeight="1" thickTop="1" thickBot="1" x14ac:dyDescent="0.3">
      <c r="A23" s="92"/>
      <c r="B23" s="93" t="s">
        <v>97</v>
      </c>
      <c r="C23" s="89">
        <v>44338</v>
      </c>
      <c r="D23" s="101"/>
      <c r="E23" s="101"/>
      <c r="F23" s="106">
        <f t="shared" si="0"/>
        <v>0</v>
      </c>
      <c r="G23" s="101">
        <v>0</v>
      </c>
      <c r="H23" s="101"/>
      <c r="I23" s="106">
        <f t="shared" si="1"/>
        <v>0</v>
      </c>
      <c r="J23" s="112"/>
      <c r="K23" s="109">
        <f t="shared" si="2"/>
        <v>0</v>
      </c>
      <c r="L23" s="459"/>
      <c r="M23" s="94">
        <f t="shared" si="3"/>
        <v>4.166666666666663E-2</v>
      </c>
      <c r="V23" s="96"/>
      <c r="AB23" s="95" t="s">
        <v>78</v>
      </c>
      <c r="AJ23" s="97"/>
      <c r="AL23" s="98"/>
    </row>
    <row r="24" spans="1:40" s="95" customFormat="1" ht="1.2" customHeight="1" thickTop="1" thickBot="1" x14ac:dyDescent="0.3">
      <c r="A24" s="92"/>
      <c r="B24" s="93" t="s">
        <v>98</v>
      </c>
      <c r="C24" s="89">
        <v>44339</v>
      </c>
      <c r="D24" s="101"/>
      <c r="E24" s="101"/>
      <c r="F24" s="106">
        <f t="shared" si="0"/>
        <v>0</v>
      </c>
      <c r="G24" s="101"/>
      <c r="H24" s="101"/>
      <c r="I24" s="106">
        <f t="shared" si="1"/>
        <v>0</v>
      </c>
      <c r="J24" s="112"/>
      <c r="K24" s="109">
        <f t="shared" si="2"/>
        <v>0</v>
      </c>
      <c r="L24" s="459"/>
      <c r="M24" s="94">
        <f>M23+K24-J24</f>
        <v>4.166666666666663E-2</v>
      </c>
      <c r="V24" s="96"/>
      <c r="AJ24" s="97"/>
      <c r="AL24" s="98"/>
    </row>
    <row r="25" spans="1:40" ht="13.95" customHeight="1" thickTop="1" thickBot="1" x14ac:dyDescent="0.3">
      <c r="A25" s="21"/>
      <c r="B25" s="90" t="s">
        <v>99</v>
      </c>
      <c r="C25" s="22">
        <v>44340</v>
      </c>
      <c r="D25" s="101"/>
      <c r="E25" s="101"/>
      <c r="F25" s="104">
        <f t="shared" si="0"/>
        <v>0</v>
      </c>
      <c r="G25" s="101"/>
      <c r="H25" s="101">
        <v>0.35416666666666669</v>
      </c>
      <c r="I25" s="104">
        <f t="shared" si="1"/>
        <v>0.35416666666666669</v>
      </c>
      <c r="J25" s="110">
        <v>0.35416666666666669</v>
      </c>
      <c r="K25" s="107">
        <f t="shared" si="2"/>
        <v>0.35416666666666669</v>
      </c>
      <c r="L25" s="459"/>
      <c r="M25" s="25">
        <f>M24+K25-J25</f>
        <v>4.166666666666663E-2</v>
      </c>
      <c r="N25" t="s">
        <v>194</v>
      </c>
      <c r="V25" s="83"/>
      <c r="AJ25" s="8"/>
      <c r="AK25"/>
    </row>
    <row r="26" spans="1:40" ht="13.95" customHeight="1" thickTop="1" thickBot="1" x14ac:dyDescent="0.3">
      <c r="A26" s="21"/>
      <c r="B26" s="90" t="s">
        <v>93</v>
      </c>
      <c r="C26" s="86">
        <v>44341</v>
      </c>
      <c r="D26" s="103"/>
      <c r="E26" s="103"/>
      <c r="F26" s="105">
        <f t="shared" si="0"/>
        <v>0</v>
      </c>
      <c r="G26" s="103"/>
      <c r="H26" s="103">
        <v>0.35416666666666669</v>
      </c>
      <c r="I26" s="105">
        <f t="shared" si="1"/>
        <v>0.35416666666666669</v>
      </c>
      <c r="J26" s="111">
        <v>0.35416666666666669</v>
      </c>
      <c r="K26" s="108">
        <f t="shared" si="2"/>
        <v>0.35416666666666669</v>
      </c>
      <c r="L26" s="459"/>
      <c r="M26" s="25">
        <f t="shared" ref="M26:M32" si="4">M25+K26-J26</f>
        <v>4.166666666666663E-2</v>
      </c>
      <c r="N26" t="s">
        <v>72</v>
      </c>
      <c r="O26" t="s">
        <v>50</v>
      </c>
      <c r="AJ26" s="8"/>
      <c r="AK26"/>
    </row>
    <row r="27" spans="1:40" ht="13.95" customHeight="1" thickTop="1" thickBot="1" x14ac:dyDescent="0.3">
      <c r="A27" s="21"/>
      <c r="B27" s="90" t="s">
        <v>94</v>
      </c>
      <c r="C27" s="22">
        <v>44342</v>
      </c>
      <c r="D27" s="101">
        <v>0.35416666666666669</v>
      </c>
      <c r="E27" s="101">
        <v>0.51041666666666663</v>
      </c>
      <c r="F27" s="104">
        <f t="shared" si="0"/>
        <v>0.15624999999999994</v>
      </c>
      <c r="G27" s="101">
        <v>0.54166666666666663</v>
      </c>
      <c r="H27" s="101">
        <v>0.73958333333333337</v>
      </c>
      <c r="I27" s="104">
        <f t="shared" si="1"/>
        <v>0.19791666666666674</v>
      </c>
      <c r="J27" s="110">
        <v>0.35416666666666669</v>
      </c>
      <c r="K27" s="107">
        <f t="shared" si="2"/>
        <v>0.35416666666666669</v>
      </c>
      <c r="L27" s="459"/>
      <c r="M27" s="25">
        <f t="shared" si="4"/>
        <v>4.166666666666663E-2</v>
      </c>
      <c r="N27" s="114"/>
      <c r="P27" t="s">
        <v>171</v>
      </c>
      <c r="Q27" t="s">
        <v>111</v>
      </c>
      <c r="R27" t="s">
        <v>201</v>
      </c>
      <c r="S27" t="s">
        <v>53</v>
      </c>
      <c r="AJ27" s="8"/>
      <c r="AK27"/>
    </row>
    <row r="28" spans="1:40" ht="13.95" customHeight="1" thickTop="1" thickBot="1" x14ac:dyDescent="0.3">
      <c r="A28" s="21"/>
      <c r="B28" s="90" t="s">
        <v>95</v>
      </c>
      <c r="C28" s="22">
        <v>44343</v>
      </c>
      <c r="D28" s="101">
        <v>0.35416666666666669</v>
      </c>
      <c r="E28" s="101">
        <v>0.51041666666666663</v>
      </c>
      <c r="F28" s="104">
        <f t="shared" si="0"/>
        <v>0.15624999999999994</v>
      </c>
      <c r="G28" s="101">
        <v>0.54166666666666663</v>
      </c>
      <c r="H28" s="101">
        <v>0.73958333333333337</v>
      </c>
      <c r="I28" s="104">
        <f t="shared" si="1"/>
        <v>0.19791666666666674</v>
      </c>
      <c r="J28" s="110">
        <v>0.35416666666666669</v>
      </c>
      <c r="K28" s="107">
        <f t="shared" si="2"/>
        <v>0.35416666666666669</v>
      </c>
      <c r="L28" s="459"/>
      <c r="M28" s="25">
        <f t="shared" si="4"/>
        <v>4.166666666666663E-2</v>
      </c>
      <c r="P28" t="s">
        <v>202</v>
      </c>
      <c r="Q28" t="s">
        <v>50</v>
      </c>
      <c r="AJ28" s="8"/>
      <c r="AK28"/>
    </row>
    <row r="29" spans="1:40" ht="13.95" customHeight="1" thickTop="1" thickBot="1" x14ac:dyDescent="0.3">
      <c r="A29" s="21"/>
      <c r="B29" s="90" t="s">
        <v>96</v>
      </c>
      <c r="C29" s="22">
        <v>44344</v>
      </c>
      <c r="D29" s="101">
        <v>0.35416666666666669</v>
      </c>
      <c r="E29" s="101">
        <v>0.51041666666666663</v>
      </c>
      <c r="F29" s="104">
        <f t="shared" si="0"/>
        <v>0.15624999999999994</v>
      </c>
      <c r="G29" s="101">
        <v>0.54166666666666663</v>
      </c>
      <c r="H29" s="101">
        <v>0.67708333333333337</v>
      </c>
      <c r="I29" s="104">
        <f t="shared" si="1"/>
        <v>0.13541666666666674</v>
      </c>
      <c r="J29" s="110">
        <v>0.33333333333333331</v>
      </c>
      <c r="K29" s="107">
        <f t="shared" si="2"/>
        <v>0.29166666666666669</v>
      </c>
      <c r="L29" s="459"/>
      <c r="M29" s="25">
        <f t="shared" si="4"/>
        <v>0</v>
      </c>
      <c r="N29" t="s">
        <v>146</v>
      </c>
      <c r="O29" t="s">
        <v>45</v>
      </c>
      <c r="P29" t="s">
        <v>202</v>
      </c>
      <c r="Q29" t="s">
        <v>203</v>
      </c>
      <c r="AJ29" s="8"/>
      <c r="AK29"/>
    </row>
    <row r="30" spans="1:40" s="95" customFormat="1" ht="1.2" customHeight="1" thickTop="1" thickBot="1" x14ac:dyDescent="0.3">
      <c r="A30" s="92"/>
      <c r="B30" s="93" t="s">
        <v>97</v>
      </c>
      <c r="C30" s="89">
        <v>44345</v>
      </c>
      <c r="D30" s="101"/>
      <c r="E30" s="101"/>
      <c r="F30" s="106">
        <f t="shared" si="0"/>
        <v>0</v>
      </c>
      <c r="G30" s="101"/>
      <c r="H30" s="101"/>
      <c r="I30" s="106">
        <f t="shared" si="1"/>
        <v>0</v>
      </c>
      <c r="J30" s="112"/>
      <c r="K30" s="109">
        <f t="shared" si="2"/>
        <v>0</v>
      </c>
      <c r="L30" s="459"/>
      <c r="M30" s="94">
        <f t="shared" si="4"/>
        <v>0</v>
      </c>
      <c r="AJ30" s="97"/>
    </row>
    <row r="31" spans="1:40" s="95" customFormat="1" ht="1.2" customHeight="1" thickTop="1" thickBot="1" x14ac:dyDescent="0.3">
      <c r="A31" s="92"/>
      <c r="B31" s="93" t="s">
        <v>98</v>
      </c>
      <c r="C31" s="89">
        <v>44346</v>
      </c>
      <c r="D31" s="101"/>
      <c r="E31" s="101"/>
      <c r="F31" s="106">
        <f t="shared" si="0"/>
        <v>0</v>
      </c>
      <c r="G31" s="101"/>
      <c r="H31" s="101"/>
      <c r="I31" s="106">
        <f t="shared" si="1"/>
        <v>0</v>
      </c>
      <c r="J31" s="112"/>
      <c r="K31" s="109">
        <f t="shared" si="2"/>
        <v>0</v>
      </c>
      <c r="L31" s="459"/>
      <c r="M31" s="94">
        <f t="shared" si="4"/>
        <v>0</v>
      </c>
      <c r="AJ31" s="97"/>
    </row>
    <row r="32" spans="1:40" ht="13.95" customHeight="1" thickTop="1" thickBot="1" x14ac:dyDescent="0.3">
      <c r="A32" s="21"/>
      <c r="B32" s="90" t="s">
        <v>99</v>
      </c>
      <c r="C32" s="22">
        <v>44347</v>
      </c>
      <c r="D32" s="101">
        <v>0.33333333333333331</v>
      </c>
      <c r="E32" s="101">
        <v>0.51041666666666663</v>
      </c>
      <c r="F32" s="104">
        <f t="shared" si="0"/>
        <v>0.17708333333333331</v>
      </c>
      <c r="G32" s="101">
        <v>0.54166666666666663</v>
      </c>
      <c r="H32" s="101">
        <v>0.71875</v>
      </c>
      <c r="I32" s="104">
        <f t="shared" si="1"/>
        <v>0.17708333333333337</v>
      </c>
      <c r="J32" s="110">
        <v>0.35416666666666669</v>
      </c>
      <c r="K32" s="107">
        <f t="shared" si="2"/>
        <v>0.35416666666666669</v>
      </c>
      <c r="L32" s="459"/>
      <c r="M32" s="25">
        <f t="shared" si="4"/>
        <v>0</v>
      </c>
      <c r="N32" t="s">
        <v>72</v>
      </c>
      <c r="O32" t="s">
        <v>109</v>
      </c>
      <c r="P32" t="s">
        <v>202</v>
      </c>
      <c r="Q32" t="s">
        <v>109</v>
      </c>
      <c r="AJ32" s="8"/>
      <c r="AK32"/>
    </row>
    <row r="33" spans="2:18" ht="14.4" thickTop="1" x14ac:dyDescent="0.25">
      <c r="C33" s="26"/>
    </row>
    <row r="34" spans="2:18" x14ac:dyDescent="0.25">
      <c r="C34" s="21"/>
    </row>
    <row r="35" spans="2:18" x14ac:dyDescent="0.25">
      <c r="C35" s="21"/>
    </row>
    <row r="36" spans="2:18" x14ac:dyDescent="0.25">
      <c r="C36" s="21"/>
      <c r="D36" s="40" t="s">
        <v>6</v>
      </c>
      <c r="E36" s="40"/>
      <c r="F36" s="40"/>
    </row>
    <row r="37" spans="2:18" x14ac:dyDescent="0.25">
      <c r="B37" s="1" t="s">
        <v>99</v>
      </c>
    </row>
    <row r="38" spans="2:18" x14ac:dyDescent="0.25">
      <c r="B38" s="1" t="s">
        <v>93</v>
      </c>
    </row>
    <row r="39" spans="2:18" x14ac:dyDescent="0.25">
      <c r="B39" s="1" t="s">
        <v>94</v>
      </c>
    </row>
    <row r="40" spans="2:18" x14ac:dyDescent="0.25">
      <c r="B40" s="1" t="s">
        <v>95</v>
      </c>
    </row>
    <row r="41" spans="2:18" x14ac:dyDescent="0.25">
      <c r="B41" s="1" t="s">
        <v>96</v>
      </c>
      <c r="O41" s="9"/>
      <c r="P41" s="10"/>
    </row>
    <row r="42" spans="2:18" x14ac:dyDescent="0.25">
      <c r="B42" s="1" t="s">
        <v>97</v>
      </c>
      <c r="P42" s="1"/>
    </row>
    <row r="43" spans="2:18" x14ac:dyDescent="0.25">
      <c r="B43" s="1" t="s">
        <v>98</v>
      </c>
      <c r="O43" s="9"/>
      <c r="R43" s="7"/>
    </row>
    <row r="44" spans="2:18" x14ac:dyDescent="0.25">
      <c r="B44" s="1" t="s">
        <v>99</v>
      </c>
      <c r="O44" s="9"/>
      <c r="P44" s="10"/>
    </row>
    <row r="45" spans="2:18" x14ac:dyDescent="0.25">
      <c r="B45" s="1" t="s">
        <v>93</v>
      </c>
      <c r="P45" s="1"/>
    </row>
    <row r="46" spans="2:18" x14ac:dyDescent="0.25">
      <c r="B46" s="1" t="s">
        <v>94</v>
      </c>
    </row>
    <row r="47" spans="2:18" x14ac:dyDescent="0.25">
      <c r="B47" s="1" t="s">
        <v>95</v>
      </c>
    </row>
    <row r="48" spans="2:18" x14ac:dyDescent="0.25">
      <c r="B48" s="1" t="s">
        <v>96</v>
      </c>
    </row>
    <row r="49" spans="2:2" x14ac:dyDescent="0.25">
      <c r="B49" s="1" t="s">
        <v>97</v>
      </c>
    </row>
    <row r="50" spans="2:2" x14ac:dyDescent="0.25">
      <c r="B50" s="1" t="s">
        <v>98</v>
      </c>
    </row>
    <row r="51" spans="2:2" x14ac:dyDescent="0.25">
      <c r="B51" s="1" t="s">
        <v>99</v>
      </c>
    </row>
    <row r="52" spans="2:2" x14ac:dyDescent="0.25">
      <c r="B52" s="1" t="s">
        <v>93</v>
      </c>
    </row>
    <row r="53" spans="2:2" x14ac:dyDescent="0.25">
      <c r="B53" s="1" t="s">
        <v>94</v>
      </c>
    </row>
    <row r="54" spans="2:2" x14ac:dyDescent="0.25">
      <c r="B54" s="1" t="s">
        <v>95</v>
      </c>
    </row>
    <row r="55" spans="2:2" x14ac:dyDescent="0.25">
      <c r="B55" s="1" t="s">
        <v>96</v>
      </c>
    </row>
    <row r="56" spans="2:2" x14ac:dyDescent="0.25">
      <c r="B56" s="1" t="s">
        <v>97</v>
      </c>
    </row>
    <row r="57" spans="2:2" x14ac:dyDescent="0.25">
      <c r="B57" s="1" t="s">
        <v>98</v>
      </c>
    </row>
    <row r="58" spans="2:2" x14ac:dyDescent="0.25">
      <c r="B58" s="1" t="s">
        <v>99</v>
      </c>
    </row>
    <row r="59" spans="2:2" x14ac:dyDescent="0.25">
      <c r="B59" s="1" t="s">
        <v>93</v>
      </c>
    </row>
    <row r="60" spans="2:2" x14ac:dyDescent="0.25">
      <c r="B60" s="1" t="s">
        <v>94</v>
      </c>
    </row>
    <row r="61" spans="2:2" x14ac:dyDescent="0.25">
      <c r="B61" s="1" t="s">
        <v>95</v>
      </c>
    </row>
    <row r="62" spans="2:2" x14ac:dyDescent="0.25">
      <c r="B62" s="1" t="s">
        <v>96</v>
      </c>
    </row>
    <row r="63" spans="2:2" x14ac:dyDescent="0.25">
      <c r="B63" s="1" t="s">
        <v>97</v>
      </c>
    </row>
    <row r="64" spans="2:2" x14ac:dyDescent="0.25">
      <c r="B64" s="1" t="s">
        <v>98</v>
      </c>
    </row>
    <row r="65" spans="2:3" x14ac:dyDescent="0.25">
      <c r="B65" s="1" t="s">
        <v>99</v>
      </c>
    </row>
    <row r="66" spans="2:3" x14ac:dyDescent="0.25">
      <c r="C66" s="21"/>
    </row>
    <row r="67" spans="2:3" x14ac:dyDescent="0.25">
      <c r="C67" s="21"/>
    </row>
    <row r="68" spans="2:3" x14ac:dyDescent="0.25">
      <c r="C68" s="21"/>
    </row>
    <row r="69" spans="2:3" x14ac:dyDescent="0.25">
      <c r="C69" s="21"/>
    </row>
    <row r="70" spans="2:3" x14ac:dyDescent="0.25">
      <c r="C70" s="21"/>
    </row>
    <row r="71" spans="2:3" x14ac:dyDescent="0.25">
      <c r="C71" s="21"/>
    </row>
    <row r="72" spans="2:3" x14ac:dyDescent="0.25">
      <c r="C72" s="21"/>
    </row>
    <row r="73" spans="2:3" x14ac:dyDescent="0.25">
      <c r="C73" s="21"/>
    </row>
    <row r="74" spans="2:3" x14ac:dyDescent="0.25">
      <c r="C74" s="21"/>
    </row>
    <row r="75" spans="2:3" x14ac:dyDescent="0.25">
      <c r="C75" s="21"/>
    </row>
    <row r="76" spans="2:3" x14ac:dyDescent="0.25">
      <c r="C76" s="21"/>
    </row>
    <row r="77" spans="2:3" x14ac:dyDescent="0.25">
      <c r="C77" s="21"/>
    </row>
    <row r="78" spans="2:3" x14ac:dyDescent="0.25">
      <c r="C78" s="21"/>
    </row>
    <row r="79" spans="2:3" x14ac:dyDescent="0.25">
      <c r="C79" s="21"/>
    </row>
    <row r="80" spans="2:3" x14ac:dyDescent="0.25">
      <c r="C80" s="21"/>
    </row>
    <row r="81" spans="3:3" x14ac:dyDescent="0.25">
      <c r="C81" s="21"/>
    </row>
    <row r="82" spans="3:3" x14ac:dyDescent="0.25">
      <c r="C82" s="21"/>
    </row>
    <row r="83" spans="3:3" x14ac:dyDescent="0.25">
      <c r="C83" s="21"/>
    </row>
    <row r="84" spans="3:3" x14ac:dyDescent="0.25">
      <c r="C84" s="21"/>
    </row>
    <row r="85" spans="3:3" x14ac:dyDescent="0.25">
      <c r="C85" s="21"/>
    </row>
    <row r="86" spans="3:3" x14ac:dyDescent="0.25">
      <c r="C86" s="21"/>
    </row>
    <row r="87" spans="3:3" x14ac:dyDescent="0.25">
      <c r="C87" s="21"/>
    </row>
    <row r="88" spans="3:3" x14ac:dyDescent="0.25">
      <c r="C88" s="21"/>
    </row>
    <row r="89" spans="3:3" x14ac:dyDescent="0.25">
      <c r="C89" s="21"/>
    </row>
    <row r="90" spans="3:3" x14ac:dyDescent="0.25">
      <c r="C90" s="21"/>
    </row>
    <row r="91" spans="3:3" x14ac:dyDescent="0.25">
      <c r="C91" s="21"/>
    </row>
    <row r="92" spans="3:3" x14ac:dyDescent="0.25">
      <c r="C92" s="21"/>
    </row>
    <row r="93" spans="3:3" x14ac:dyDescent="0.25">
      <c r="C93" s="21"/>
    </row>
    <row r="94" spans="3:3" x14ac:dyDescent="0.25">
      <c r="C94" s="21"/>
    </row>
    <row r="95" spans="3:3" x14ac:dyDescent="0.25">
      <c r="C95" s="21"/>
    </row>
    <row r="96" spans="3:3" x14ac:dyDescent="0.25">
      <c r="C96" s="21"/>
    </row>
    <row r="97" spans="3:3" x14ac:dyDescent="0.25">
      <c r="C97" s="21"/>
    </row>
    <row r="98" spans="3:3" x14ac:dyDescent="0.25">
      <c r="C98" s="21"/>
    </row>
    <row r="99" spans="3:3" x14ac:dyDescent="0.25">
      <c r="C99" s="21"/>
    </row>
    <row r="100" spans="3:3" x14ac:dyDescent="0.25">
      <c r="C100" s="21"/>
    </row>
    <row r="101" spans="3:3" x14ac:dyDescent="0.25">
      <c r="C101" s="21"/>
    </row>
    <row r="102" spans="3:3" x14ac:dyDescent="0.25">
      <c r="C102" s="21"/>
    </row>
    <row r="103" spans="3:3" x14ac:dyDescent="0.25">
      <c r="C103" s="21"/>
    </row>
    <row r="104" spans="3:3" x14ac:dyDescent="0.25">
      <c r="C104" s="21"/>
    </row>
    <row r="105" spans="3:3" x14ac:dyDescent="0.25">
      <c r="C105" s="21"/>
    </row>
    <row r="106" spans="3:3" x14ac:dyDescent="0.25">
      <c r="C106" s="21"/>
    </row>
    <row r="107" spans="3:3" x14ac:dyDescent="0.25">
      <c r="C107" s="21"/>
    </row>
    <row r="108" spans="3:3" x14ac:dyDescent="0.25">
      <c r="C108" s="21"/>
    </row>
    <row r="109" spans="3:3" x14ac:dyDescent="0.25">
      <c r="C109" s="21"/>
    </row>
    <row r="110" spans="3:3" x14ac:dyDescent="0.25">
      <c r="C110" s="21"/>
    </row>
    <row r="111" spans="3:3" x14ac:dyDescent="0.25">
      <c r="C111" s="21"/>
    </row>
    <row r="112" spans="3:3" x14ac:dyDescent="0.25">
      <c r="C112" s="21"/>
    </row>
    <row r="113" spans="3:3" x14ac:dyDescent="0.25">
      <c r="C113" s="21"/>
    </row>
    <row r="114" spans="3:3" x14ac:dyDescent="0.25">
      <c r="C114" s="21"/>
    </row>
    <row r="115" spans="3:3" x14ac:dyDescent="0.25">
      <c r="C115" s="21"/>
    </row>
    <row r="116" spans="3:3" x14ac:dyDescent="0.25">
      <c r="C116" s="21"/>
    </row>
    <row r="117" spans="3:3" x14ac:dyDescent="0.25">
      <c r="C117" s="21"/>
    </row>
    <row r="118" spans="3:3" x14ac:dyDescent="0.25">
      <c r="C118" s="21"/>
    </row>
    <row r="119" spans="3:3" x14ac:dyDescent="0.25">
      <c r="C119" s="21"/>
    </row>
    <row r="120" spans="3:3" x14ac:dyDescent="0.25">
      <c r="C120" s="21"/>
    </row>
    <row r="121" spans="3:3" x14ac:dyDescent="0.25">
      <c r="C121" s="21"/>
    </row>
    <row r="122" spans="3:3" x14ac:dyDescent="0.25">
      <c r="C122" s="21"/>
    </row>
    <row r="123" spans="3:3" x14ac:dyDescent="0.25">
      <c r="C123" s="21"/>
    </row>
  </sheetData>
  <mergeCells count="3">
    <mergeCell ref="B2:K2"/>
    <mergeCell ref="L2:L32"/>
    <mergeCell ref="AC2:AD2"/>
  </mergeCells>
  <conditionalFormatting sqref="K4:K32">
    <cfRule type="expression" dxfId="80" priority="4">
      <formula>K4=0</formula>
    </cfRule>
    <cfRule type="expression" dxfId="79" priority="5">
      <formula>K4&gt;J4</formula>
    </cfRule>
    <cfRule type="expression" dxfId="78" priority="6">
      <formula>K4&lt;J4</formula>
    </cfRule>
    <cfRule type="expression" dxfId="77" priority="7">
      <formula>K4&gt;=J4</formula>
    </cfRule>
  </conditionalFormatting>
  <conditionalFormatting sqref="M5:M32">
    <cfRule type="expression" dxfId="76" priority="1">
      <formula>M4=M5</formula>
    </cfRule>
    <cfRule type="expression" dxfId="75" priority="2" stopIfTrue="1">
      <formula>M5&lt;M4</formula>
    </cfRule>
    <cfRule type="expression" dxfId="74" priority="3">
      <formula>M5&gt;M4</formula>
    </cfRule>
  </conditionalFormatting>
  <conditionalFormatting sqref="M25:M32">
    <cfRule type="expression" dxfId="73" priority="8">
      <formula>M25=0</formula>
    </cfRule>
    <cfRule type="expression" dxfId="72" priority="9">
      <formula>M25&gt;K25</formula>
    </cfRule>
    <cfRule type="expression" dxfId="71" priority="10">
      <formula>M25&lt;K25</formula>
    </cfRule>
    <cfRule type="expression" dxfId="70" priority="11">
      <formula>M25&gt;=K25</formula>
    </cfRule>
  </conditionalFormatting>
  <dataValidations disablePrompts="1" count="1">
    <dataValidation type="list" allowBlank="1" showInputMessage="1" showErrorMessage="1" sqref="D35:D65 F35 F37:F65" xr:uid="{00000000-0002-0000-0800-000000000000}">
      <formula1>$AD$6:$AD$10</formula1>
    </dataValidation>
  </dataValidations>
  <pageMargins left="0.23622047244094491" right="0.23622047244094491" top="0.74803149606299213" bottom="0.74803149606299213" header="0.31496062992125984" footer="0.31496062992125984"/>
  <pageSetup paperSize="9" fitToWidth="5" fitToHeight="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tabColor theme="4" tint="-0.249977111117893"/>
    <pageSetUpPr fitToPage="1"/>
  </sheetPr>
  <dimension ref="A1:Y123"/>
  <sheetViews>
    <sheetView showGridLines="0" showZeros="0" showRuler="0" topLeftCell="A3" zoomScale="70" zoomScaleNormal="70" zoomScaleSheetLayoutView="100" zoomScalePageLayoutView="70" workbookViewId="0">
      <selection activeCell="I42" sqref="I42"/>
    </sheetView>
  </sheetViews>
  <sheetFormatPr baseColWidth="10" defaultColWidth="11" defaultRowHeight="13.8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2" width="9.296875" style="117" customWidth="1"/>
    <col min="13" max="13" width="1.59765625" style="117" customWidth="1"/>
    <col min="14" max="14" width="9.29687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16384" width="11" style="117"/>
  </cols>
  <sheetData>
    <row r="1" spans="1:25" ht="13.95" customHeight="1" x14ac:dyDescent="0.25">
      <c r="C1" s="174"/>
    </row>
    <row r="2" spans="1:25" ht="16.5" customHeight="1" x14ac:dyDescent="0.25"/>
    <row r="3" spans="1:25" ht="16.5" customHeight="1" x14ac:dyDescent="0.25">
      <c r="F3" s="142"/>
    </row>
    <row r="4" spans="1:25" ht="16.5" customHeight="1" x14ac:dyDescent="0.25">
      <c r="D4" s="173" t="s">
        <v>219</v>
      </c>
    </row>
    <row r="5" spans="1:25" ht="16.5" customHeight="1" thickBot="1" x14ac:dyDescent="0.3">
      <c r="C5" s="176" t="s">
        <v>220</v>
      </c>
      <c r="D5" s="175">
        <f ca="1">TODAY()</f>
        <v>44935</v>
      </c>
    </row>
    <row r="6" spans="1:25" ht="16.350000000000001" customHeight="1" thickTop="1" thickBot="1" x14ac:dyDescent="0.35">
      <c r="B6" s="118"/>
      <c r="C6" s="473" t="s">
        <v>229</v>
      </c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V6" s="474"/>
      <c r="W6" s="474"/>
      <c r="X6" s="474"/>
      <c r="Y6" s="119"/>
    </row>
    <row r="7" spans="1:25" ht="16.350000000000001" customHeight="1" thickTop="1" thickBot="1" x14ac:dyDescent="0.3">
      <c r="B7" s="120"/>
      <c r="C7" s="475" t="s">
        <v>21</v>
      </c>
      <c r="D7" s="476"/>
      <c r="E7" s="476"/>
      <c r="F7" s="476"/>
      <c r="G7" s="476"/>
      <c r="H7" s="476"/>
      <c r="I7" s="476"/>
      <c r="J7" s="476"/>
      <c r="K7" s="476"/>
      <c r="L7" s="477"/>
      <c r="M7" s="478"/>
      <c r="N7" s="152" t="s">
        <v>205</v>
      </c>
      <c r="O7" s="153"/>
      <c r="P7" s="154"/>
      <c r="Q7" s="155"/>
      <c r="R7" s="155"/>
      <c r="S7" s="155"/>
      <c r="T7" s="155"/>
      <c r="U7" s="155"/>
      <c r="V7" s="155"/>
      <c r="W7" s="155"/>
      <c r="X7" s="156"/>
      <c r="Y7" s="121"/>
    </row>
    <row r="8" spans="1:25" ht="16.350000000000001" customHeight="1" thickTop="1" thickBot="1" x14ac:dyDescent="0.3">
      <c r="B8" s="122"/>
      <c r="C8" s="169" t="s">
        <v>214</v>
      </c>
      <c r="D8" s="170" t="s">
        <v>215</v>
      </c>
      <c r="E8" s="170" t="s">
        <v>210</v>
      </c>
      <c r="F8" s="170" t="s">
        <v>211</v>
      </c>
      <c r="G8" s="171" t="s">
        <v>206</v>
      </c>
      <c r="H8" s="170" t="s">
        <v>212</v>
      </c>
      <c r="I8" s="170" t="s">
        <v>213</v>
      </c>
      <c r="J8" s="171" t="s">
        <v>207</v>
      </c>
      <c r="K8" s="172" t="s">
        <v>209</v>
      </c>
      <c r="L8" s="170" t="s">
        <v>208</v>
      </c>
      <c r="M8" s="479"/>
      <c r="N8" s="123"/>
      <c r="O8" s="124"/>
      <c r="P8" s="180"/>
      <c r="Q8" s="157"/>
      <c r="R8" s="180"/>
      <c r="S8" s="157"/>
      <c r="T8" s="180"/>
      <c r="U8" s="157"/>
      <c r="V8" s="180"/>
      <c r="W8" s="157"/>
      <c r="X8" s="158"/>
      <c r="Y8" s="121"/>
    </row>
    <row r="9" spans="1:25" ht="16.350000000000001" customHeight="1" thickTop="1" thickBot="1" x14ac:dyDescent="0.35">
      <c r="B9" s="487">
        <f>WEEKNUM(D9,2)</f>
        <v>23</v>
      </c>
      <c r="C9" s="125" t="s">
        <v>99</v>
      </c>
      <c r="D9" s="126">
        <v>44347</v>
      </c>
      <c r="E9" s="127">
        <v>0.33333333333333331</v>
      </c>
      <c r="F9" s="127">
        <v>0.51041666666666663</v>
      </c>
      <c r="G9" s="128">
        <f>(F9-E9)*24</f>
        <v>4.25</v>
      </c>
      <c r="H9" s="127">
        <v>0.54166666666666663</v>
      </c>
      <c r="I9" s="127">
        <v>0.71875</v>
      </c>
      <c r="J9" s="128">
        <f>(I9-H9)*24</f>
        <v>4.2500000000000009</v>
      </c>
      <c r="K9" s="129">
        <v>8.5</v>
      </c>
      <c r="L9" s="147">
        <f>(F9-E9+I9-H9)*24</f>
        <v>8.5</v>
      </c>
      <c r="M9" s="479"/>
      <c r="N9" s="193">
        <f>IF(L9&gt;0,(L9-K9)+N8,+N8)</f>
        <v>0</v>
      </c>
      <c r="O9" s="159"/>
      <c r="P9" s="157"/>
      <c r="Q9" s="157"/>
      <c r="R9" s="157"/>
      <c r="S9" s="157"/>
      <c r="T9" s="157"/>
      <c r="U9" s="157"/>
      <c r="V9" s="180"/>
      <c r="W9" s="157"/>
      <c r="X9" s="158"/>
      <c r="Y9" s="121"/>
    </row>
    <row r="10" spans="1:25" ht="16.350000000000001" customHeight="1" thickTop="1" thickBot="1" x14ac:dyDescent="0.35">
      <c r="B10" s="487"/>
      <c r="C10" s="125" t="s">
        <v>93</v>
      </c>
      <c r="D10" s="126">
        <v>44348</v>
      </c>
      <c r="E10" s="130"/>
      <c r="F10" s="131"/>
      <c r="G10" s="132">
        <f t="shared" ref="G10:G39" si="0">(F10-E10)*24</f>
        <v>0</v>
      </c>
      <c r="H10" s="131"/>
      <c r="I10" s="130"/>
      <c r="J10" s="132">
        <v>8.5</v>
      </c>
      <c r="K10" s="132">
        <v>8.5</v>
      </c>
      <c r="L10" s="147">
        <v>8.5</v>
      </c>
      <c r="M10" s="479"/>
      <c r="N10" s="193">
        <f t="shared" ref="N10:N39" si="1">IF(L10&gt;0,(L10-K10)+N9,+N9)</f>
        <v>0</v>
      </c>
      <c r="O10" s="159" t="s">
        <v>216</v>
      </c>
      <c r="P10" s="157">
        <v>8.5</v>
      </c>
      <c r="Q10" s="157"/>
      <c r="R10" s="157"/>
      <c r="S10" s="157"/>
      <c r="T10" s="157"/>
      <c r="U10" s="157"/>
      <c r="V10" s="180"/>
      <c r="W10" s="157"/>
      <c r="X10" s="158"/>
      <c r="Y10" s="121"/>
    </row>
    <row r="11" spans="1:25" ht="16.350000000000001" customHeight="1" thickTop="1" thickBot="1" x14ac:dyDescent="0.35">
      <c r="A11" s="150"/>
      <c r="B11" s="487"/>
      <c r="C11" s="125" t="s">
        <v>94</v>
      </c>
      <c r="D11" s="126">
        <v>44349</v>
      </c>
      <c r="E11" s="127">
        <v>0.35416666666666669</v>
      </c>
      <c r="F11" s="127">
        <v>0.51041666666666663</v>
      </c>
      <c r="G11" s="128">
        <f t="shared" si="0"/>
        <v>3.7499999999999987</v>
      </c>
      <c r="H11" s="127">
        <v>0.54166666666666663</v>
      </c>
      <c r="I11" s="127">
        <v>0.73958333333333337</v>
      </c>
      <c r="J11" s="128">
        <f t="shared" ref="J11:J39" si="2">(I11-H11)*24</f>
        <v>4.7500000000000018</v>
      </c>
      <c r="K11" s="115">
        <v>8.5</v>
      </c>
      <c r="L11" s="147">
        <f t="shared" ref="L11:L38" si="3">(F11-E11+I11-H11)*24</f>
        <v>8.5</v>
      </c>
      <c r="M11" s="479"/>
      <c r="N11" s="193">
        <f t="shared" si="1"/>
        <v>0</v>
      </c>
      <c r="O11" s="159"/>
      <c r="P11" s="157"/>
      <c r="Q11" s="157" t="s">
        <v>204</v>
      </c>
      <c r="R11" s="157">
        <v>8.5</v>
      </c>
      <c r="S11" s="157"/>
      <c r="T11" s="157"/>
      <c r="U11" s="157"/>
      <c r="V11" s="180"/>
      <c r="W11" s="157"/>
      <c r="X11" s="158"/>
      <c r="Y11" s="121"/>
    </row>
    <row r="12" spans="1:25" ht="16.350000000000001" customHeight="1" thickTop="1" thickBot="1" x14ac:dyDescent="0.35">
      <c r="A12" s="150"/>
      <c r="B12" s="487"/>
      <c r="C12" s="125" t="s">
        <v>95</v>
      </c>
      <c r="D12" s="126">
        <v>44350</v>
      </c>
      <c r="E12" s="127">
        <v>0.35416666666666669</v>
      </c>
      <c r="F12" s="127">
        <v>0.51041666666666663</v>
      </c>
      <c r="G12" s="128">
        <f t="shared" si="0"/>
        <v>3.7499999999999987</v>
      </c>
      <c r="H12" s="127">
        <v>0.54166666666666663</v>
      </c>
      <c r="I12" s="127">
        <v>0.76041666666666663</v>
      </c>
      <c r="J12" s="128">
        <f t="shared" si="2"/>
        <v>5.25</v>
      </c>
      <c r="K12" s="115">
        <v>8.5</v>
      </c>
      <c r="L12" s="147">
        <f t="shared" si="3"/>
        <v>8.9999999999999964</v>
      </c>
      <c r="M12" s="479"/>
      <c r="N12" s="193">
        <f t="shared" si="1"/>
        <v>0.49999999999999645</v>
      </c>
      <c r="O12" s="159"/>
      <c r="P12" s="157"/>
      <c r="Q12" s="157" t="s">
        <v>204</v>
      </c>
      <c r="R12" s="157">
        <v>9</v>
      </c>
      <c r="S12" s="160"/>
      <c r="T12" s="157"/>
      <c r="U12" s="157"/>
      <c r="V12" s="180"/>
      <c r="W12" s="157"/>
      <c r="X12" s="158"/>
      <c r="Y12" s="121"/>
    </row>
    <row r="13" spans="1:25" ht="16.05" customHeight="1" thickTop="1" thickBot="1" x14ac:dyDescent="0.35">
      <c r="A13" s="150"/>
      <c r="B13" s="487"/>
      <c r="C13" s="125" t="s">
        <v>96</v>
      </c>
      <c r="D13" s="126">
        <v>44351</v>
      </c>
      <c r="E13" s="127">
        <v>0.33333333333333331</v>
      </c>
      <c r="F13" s="127">
        <v>0.51041666666666663</v>
      </c>
      <c r="G13" s="128">
        <f t="shared" si="0"/>
        <v>4.25</v>
      </c>
      <c r="H13" s="127">
        <v>0.54166666666666663</v>
      </c>
      <c r="I13" s="127">
        <v>0.67708333333333337</v>
      </c>
      <c r="J13" s="128">
        <f t="shared" si="2"/>
        <v>3.2500000000000018</v>
      </c>
      <c r="K13" s="115">
        <v>8</v>
      </c>
      <c r="L13" s="147">
        <f t="shared" si="3"/>
        <v>7.5000000000000027</v>
      </c>
      <c r="M13" s="479"/>
      <c r="N13" s="193">
        <f t="shared" si="1"/>
        <v>-8.8817841970012523E-16</v>
      </c>
      <c r="O13" s="159"/>
      <c r="P13" s="157"/>
      <c r="Q13" s="157" t="s">
        <v>204</v>
      </c>
      <c r="R13" s="157">
        <v>4.25</v>
      </c>
      <c r="S13" s="157" t="s">
        <v>171</v>
      </c>
      <c r="T13" s="157">
        <v>3.25</v>
      </c>
      <c r="U13" s="160"/>
      <c r="V13" s="180"/>
      <c r="W13" s="157"/>
      <c r="X13" s="158"/>
      <c r="Y13" s="121"/>
    </row>
    <row r="14" spans="1:25" ht="1.35" customHeight="1" thickTop="1" thickBot="1" x14ac:dyDescent="0.35">
      <c r="A14" s="150"/>
      <c r="B14" s="122"/>
      <c r="C14" s="143" t="s">
        <v>97</v>
      </c>
      <c r="D14" s="144">
        <v>44352</v>
      </c>
      <c r="E14" s="145"/>
      <c r="F14" s="145"/>
      <c r="G14" s="151">
        <f t="shared" si="0"/>
        <v>0</v>
      </c>
      <c r="H14" s="145"/>
      <c r="I14" s="145"/>
      <c r="J14" s="151">
        <f t="shared" si="2"/>
        <v>0</v>
      </c>
      <c r="K14" s="146">
        <v>8</v>
      </c>
      <c r="L14" s="148">
        <f>K14</f>
        <v>8</v>
      </c>
      <c r="M14" s="479"/>
      <c r="N14" s="193">
        <f t="shared" si="1"/>
        <v>-8.8817841970012523E-16</v>
      </c>
      <c r="O14" s="161"/>
      <c r="P14" s="162"/>
      <c r="Q14" s="162"/>
      <c r="R14" s="162"/>
      <c r="S14" s="162"/>
      <c r="T14" s="162"/>
      <c r="U14" s="163"/>
      <c r="V14" s="181"/>
      <c r="W14" s="162"/>
      <c r="X14" s="164"/>
      <c r="Y14" s="121"/>
    </row>
    <row r="15" spans="1:25" ht="1.35" customHeight="1" thickTop="1" thickBot="1" x14ac:dyDescent="0.35">
      <c r="A15" s="150"/>
      <c r="B15" s="122"/>
      <c r="C15" s="143" t="s">
        <v>98</v>
      </c>
      <c r="D15" s="144">
        <v>44353</v>
      </c>
      <c r="E15" s="145"/>
      <c r="F15" s="145"/>
      <c r="G15" s="151">
        <f t="shared" si="0"/>
        <v>0</v>
      </c>
      <c r="H15" s="145"/>
      <c r="I15" s="145"/>
      <c r="J15" s="151">
        <f t="shared" si="2"/>
        <v>0</v>
      </c>
      <c r="K15" s="146">
        <v>8</v>
      </c>
      <c r="L15" s="148">
        <f>K15</f>
        <v>8</v>
      </c>
      <c r="M15" s="479"/>
      <c r="N15" s="193">
        <f t="shared" si="1"/>
        <v>-8.8817841970012523E-16</v>
      </c>
      <c r="O15" s="161"/>
      <c r="P15" s="162"/>
      <c r="Q15" s="162"/>
      <c r="R15" s="162"/>
      <c r="S15" s="163"/>
      <c r="T15" s="162"/>
      <c r="U15" s="163"/>
      <c r="V15" s="181"/>
      <c r="W15" s="163"/>
      <c r="X15" s="164"/>
      <c r="Y15" s="121"/>
    </row>
    <row r="16" spans="1:25" ht="16.05" customHeight="1" thickTop="1" thickBot="1" x14ac:dyDescent="0.35">
      <c r="A16" s="150"/>
      <c r="B16" s="487">
        <f>WEEKNUM(D16,2)</f>
        <v>24</v>
      </c>
      <c r="C16" s="125" t="s">
        <v>99</v>
      </c>
      <c r="D16" s="126">
        <v>44354</v>
      </c>
      <c r="E16" s="127">
        <v>0.33333333333333331</v>
      </c>
      <c r="F16" s="127">
        <v>0.51041666666666663</v>
      </c>
      <c r="G16" s="128">
        <f t="shared" si="0"/>
        <v>4.25</v>
      </c>
      <c r="H16" s="127">
        <v>0.54166666666666663</v>
      </c>
      <c r="I16" s="127">
        <v>0.71875</v>
      </c>
      <c r="J16" s="128">
        <f t="shared" si="2"/>
        <v>4.2500000000000009</v>
      </c>
      <c r="K16" s="115">
        <v>8.5</v>
      </c>
      <c r="L16" s="147">
        <f t="shared" si="3"/>
        <v>8.5</v>
      </c>
      <c r="M16" s="479"/>
      <c r="N16" s="193">
        <f t="shared" si="1"/>
        <v>-8.8817841970012523E-16</v>
      </c>
      <c r="O16" s="159" t="s">
        <v>72</v>
      </c>
      <c r="P16" s="157">
        <v>4.25</v>
      </c>
      <c r="Q16" s="157" t="s">
        <v>171</v>
      </c>
      <c r="R16" s="157">
        <v>4.25</v>
      </c>
      <c r="S16" s="157"/>
      <c r="T16" s="157"/>
      <c r="U16" s="160"/>
      <c r="V16" s="180"/>
      <c r="W16" s="157"/>
      <c r="X16" s="158"/>
      <c r="Y16" s="121"/>
    </row>
    <row r="17" spans="1:25" ht="16.05" customHeight="1" thickTop="1" thickBot="1" x14ac:dyDescent="0.35">
      <c r="A17" s="150"/>
      <c r="B17" s="487"/>
      <c r="C17" s="125" t="s">
        <v>93</v>
      </c>
      <c r="D17" s="126">
        <v>44355</v>
      </c>
      <c r="E17" s="130"/>
      <c r="F17" s="130"/>
      <c r="G17" s="132">
        <f t="shared" si="0"/>
        <v>0</v>
      </c>
      <c r="H17" s="130"/>
      <c r="I17" s="130"/>
      <c r="J17" s="132"/>
      <c r="K17" s="116">
        <v>8.5</v>
      </c>
      <c r="L17" s="149">
        <v>8.5</v>
      </c>
      <c r="M17" s="479"/>
      <c r="N17" s="193">
        <f t="shared" si="1"/>
        <v>-8.8817841970012523E-16</v>
      </c>
      <c r="O17" s="159" t="s">
        <v>216</v>
      </c>
      <c r="P17" s="157">
        <v>8.5</v>
      </c>
      <c r="Q17" s="157"/>
      <c r="R17" s="157"/>
      <c r="S17" s="160"/>
      <c r="T17" s="157"/>
      <c r="U17" s="160"/>
      <c r="V17" s="180"/>
      <c r="W17" s="160"/>
      <c r="X17" s="165"/>
      <c r="Y17" s="133"/>
    </row>
    <row r="18" spans="1:25" ht="16.05" customHeight="1" thickTop="1" thickBot="1" x14ac:dyDescent="0.35">
      <c r="A18" s="150"/>
      <c r="B18" s="487"/>
      <c r="C18" s="125" t="s">
        <v>94</v>
      </c>
      <c r="D18" s="126">
        <v>44356</v>
      </c>
      <c r="E18" s="127">
        <v>0.35416666666666669</v>
      </c>
      <c r="F18" s="127">
        <v>0.51041666666666663</v>
      </c>
      <c r="G18" s="128">
        <f t="shared" si="0"/>
        <v>3.7499999999999987</v>
      </c>
      <c r="H18" s="127">
        <v>0.54166666666666663</v>
      </c>
      <c r="I18" s="127">
        <v>0.73958333333333337</v>
      </c>
      <c r="J18" s="128">
        <f t="shared" si="2"/>
        <v>4.7500000000000018</v>
      </c>
      <c r="K18" s="115">
        <v>8.5</v>
      </c>
      <c r="L18" s="147">
        <f t="shared" si="3"/>
        <v>8.5</v>
      </c>
      <c r="M18" s="479"/>
      <c r="N18" s="193">
        <f t="shared" si="1"/>
        <v>-8.8817841970012523E-16</v>
      </c>
      <c r="O18" s="159"/>
      <c r="P18" s="157"/>
      <c r="Q18" s="157" t="s">
        <v>217</v>
      </c>
      <c r="R18" s="157">
        <v>4.75</v>
      </c>
      <c r="S18" s="160" t="s">
        <v>204</v>
      </c>
      <c r="T18" s="157">
        <v>3.75</v>
      </c>
      <c r="U18" s="157"/>
      <c r="V18" s="180"/>
      <c r="W18" s="157"/>
      <c r="X18" s="158"/>
      <c r="Y18" s="133"/>
    </row>
    <row r="19" spans="1:25" ht="16.05" customHeight="1" thickTop="1" thickBot="1" x14ac:dyDescent="0.35">
      <c r="A19" s="150"/>
      <c r="B19" s="487"/>
      <c r="C19" s="125" t="s">
        <v>95</v>
      </c>
      <c r="D19" s="126">
        <v>44357</v>
      </c>
      <c r="E19" s="127">
        <v>0.34375</v>
      </c>
      <c r="F19" s="127">
        <v>0.51041666666666663</v>
      </c>
      <c r="G19" s="128">
        <f t="shared" si="0"/>
        <v>3.9999999999999991</v>
      </c>
      <c r="H19" s="127">
        <v>0.54166666666666663</v>
      </c>
      <c r="I19" s="127">
        <v>0.72916666666666663</v>
      </c>
      <c r="J19" s="128">
        <f t="shared" si="2"/>
        <v>4.5</v>
      </c>
      <c r="K19" s="115">
        <v>8.5</v>
      </c>
      <c r="L19" s="147">
        <f t="shared" si="3"/>
        <v>8.5</v>
      </c>
      <c r="M19" s="479"/>
      <c r="N19" s="193">
        <f t="shared" si="1"/>
        <v>-8.8817841970012523E-16</v>
      </c>
      <c r="O19" s="159" t="s">
        <v>72</v>
      </c>
      <c r="P19" s="157">
        <v>4</v>
      </c>
      <c r="Q19" s="184" t="s">
        <v>218</v>
      </c>
      <c r="R19" s="157">
        <v>4.5</v>
      </c>
      <c r="U19" s="157"/>
      <c r="V19" s="180"/>
      <c r="W19" s="157"/>
      <c r="X19" s="158"/>
      <c r="Y19" s="133"/>
    </row>
    <row r="20" spans="1:25" ht="16.05" customHeight="1" thickTop="1" thickBot="1" x14ac:dyDescent="0.35">
      <c r="A20" s="150"/>
      <c r="B20" s="487"/>
      <c r="C20" s="125" t="s">
        <v>96</v>
      </c>
      <c r="D20" s="126">
        <v>44358</v>
      </c>
      <c r="E20" s="127">
        <v>0.34375</v>
      </c>
      <c r="F20" s="127">
        <v>0.51041666666666663</v>
      </c>
      <c r="G20" s="128">
        <f t="shared" si="0"/>
        <v>3.9999999999999991</v>
      </c>
      <c r="H20" s="127">
        <v>0.54166666666666663</v>
      </c>
      <c r="I20" s="127">
        <v>0.70833333333333337</v>
      </c>
      <c r="J20" s="128">
        <f t="shared" si="2"/>
        <v>4.0000000000000018</v>
      </c>
      <c r="K20" s="115">
        <v>8</v>
      </c>
      <c r="L20" s="147">
        <f t="shared" si="3"/>
        <v>8</v>
      </c>
      <c r="M20" s="479"/>
      <c r="N20" s="193">
        <f t="shared" si="1"/>
        <v>-8.8817841970012523E-16</v>
      </c>
      <c r="O20" s="159"/>
      <c r="P20" s="157"/>
      <c r="Q20" s="184" t="s">
        <v>218</v>
      </c>
      <c r="R20" s="157">
        <v>4</v>
      </c>
      <c r="S20" s="160" t="s">
        <v>204</v>
      </c>
      <c r="T20" s="157">
        <v>4</v>
      </c>
      <c r="U20" s="157"/>
      <c r="V20" s="180"/>
      <c r="W20" s="157"/>
      <c r="X20" s="158"/>
      <c r="Y20" s="133"/>
    </row>
    <row r="21" spans="1:25" ht="1.35" customHeight="1" thickTop="1" thickBot="1" x14ac:dyDescent="0.35">
      <c r="A21" s="150"/>
      <c r="B21" s="185"/>
      <c r="C21" s="143" t="s">
        <v>97</v>
      </c>
      <c r="D21" s="144">
        <v>44359</v>
      </c>
      <c r="E21" s="145"/>
      <c r="F21" s="145"/>
      <c r="G21" s="151">
        <f t="shared" si="0"/>
        <v>0</v>
      </c>
      <c r="H21" s="145"/>
      <c r="I21" s="145"/>
      <c r="J21" s="151">
        <f t="shared" si="2"/>
        <v>0</v>
      </c>
      <c r="K21" s="146">
        <v>8</v>
      </c>
      <c r="L21" s="148">
        <f>K21</f>
        <v>8</v>
      </c>
      <c r="M21" s="479"/>
      <c r="N21" s="193">
        <f t="shared" si="1"/>
        <v>-8.8817841970012523E-16</v>
      </c>
      <c r="O21" s="161"/>
      <c r="P21" s="162"/>
      <c r="Q21" s="162"/>
      <c r="R21" s="162"/>
      <c r="S21" s="162"/>
      <c r="T21" s="162"/>
      <c r="U21" s="162"/>
      <c r="V21" s="181"/>
      <c r="W21" s="162"/>
      <c r="X21" s="164"/>
      <c r="Y21" s="133"/>
    </row>
    <row r="22" spans="1:25" ht="1.35" customHeight="1" thickTop="1" thickBot="1" x14ac:dyDescent="0.35">
      <c r="A22" s="150"/>
      <c r="B22" s="185"/>
      <c r="C22" s="143" t="s">
        <v>98</v>
      </c>
      <c r="D22" s="144">
        <v>44360</v>
      </c>
      <c r="E22" s="145"/>
      <c r="F22" s="145"/>
      <c r="G22" s="151">
        <f t="shared" si="0"/>
        <v>0</v>
      </c>
      <c r="H22" s="145"/>
      <c r="I22" s="145"/>
      <c r="J22" s="151">
        <f t="shared" si="2"/>
        <v>0</v>
      </c>
      <c r="K22" s="146">
        <v>8</v>
      </c>
      <c r="L22" s="148">
        <f>K22</f>
        <v>8</v>
      </c>
      <c r="M22" s="479"/>
      <c r="N22" s="193">
        <f t="shared" si="1"/>
        <v>-8.8817841970012523E-16</v>
      </c>
      <c r="O22" s="161"/>
      <c r="P22" s="162"/>
      <c r="Q22" s="162"/>
      <c r="R22" s="162"/>
      <c r="S22" s="163"/>
      <c r="T22" s="162"/>
      <c r="U22" s="162"/>
      <c r="V22" s="181"/>
      <c r="W22" s="162"/>
      <c r="X22" s="164"/>
      <c r="Y22" s="133"/>
    </row>
    <row r="23" spans="1:25" ht="16.05" customHeight="1" thickTop="1" thickBot="1" x14ac:dyDescent="0.35">
      <c r="A23" s="150"/>
      <c r="B23" s="487">
        <f>WEEKNUM(D23,2)</f>
        <v>25</v>
      </c>
      <c r="C23" s="125" t="s">
        <v>99</v>
      </c>
      <c r="D23" s="126">
        <v>44361</v>
      </c>
      <c r="E23" s="127">
        <v>0.33333333333333331</v>
      </c>
      <c r="F23" s="127">
        <v>0.51041666666666663</v>
      </c>
      <c r="G23" s="128">
        <f t="shared" si="0"/>
        <v>4.25</v>
      </c>
      <c r="H23" s="127">
        <v>0.54166666666666663</v>
      </c>
      <c r="I23" s="127">
        <v>0.71875</v>
      </c>
      <c r="J23" s="128">
        <f t="shared" si="2"/>
        <v>4.2500000000000009</v>
      </c>
      <c r="K23" s="115">
        <v>8.5</v>
      </c>
      <c r="L23" s="147">
        <f t="shared" si="3"/>
        <v>8.5</v>
      </c>
      <c r="M23" s="479"/>
      <c r="N23" s="193">
        <f t="shared" si="1"/>
        <v>-8.8817841970012523E-16</v>
      </c>
      <c r="O23" s="159" t="s">
        <v>72</v>
      </c>
      <c r="P23" s="157">
        <v>4.25</v>
      </c>
      <c r="Q23" s="157" t="s">
        <v>204</v>
      </c>
      <c r="R23" s="157">
        <v>4.25</v>
      </c>
      <c r="S23" s="160"/>
      <c r="T23" s="157"/>
      <c r="U23" s="160"/>
      <c r="V23" s="180"/>
      <c r="W23" s="157"/>
      <c r="X23" s="158"/>
      <c r="Y23" s="133"/>
    </row>
    <row r="24" spans="1:25" ht="16.05" customHeight="1" thickTop="1" thickBot="1" x14ac:dyDescent="0.35">
      <c r="A24" s="150"/>
      <c r="B24" s="487"/>
      <c r="C24" s="125" t="s">
        <v>93</v>
      </c>
      <c r="D24" s="126">
        <v>44362</v>
      </c>
      <c r="E24" s="130"/>
      <c r="F24" s="130"/>
      <c r="G24" s="132">
        <f t="shared" si="0"/>
        <v>0</v>
      </c>
      <c r="H24" s="130"/>
      <c r="I24" s="130"/>
      <c r="J24" s="132">
        <v>8.5</v>
      </c>
      <c r="K24" s="116">
        <v>8.5</v>
      </c>
      <c r="L24" s="149">
        <v>8.5</v>
      </c>
      <c r="M24" s="479"/>
      <c r="N24" s="193">
        <f t="shared" si="1"/>
        <v>-8.8817841970012523E-16</v>
      </c>
      <c r="O24" s="159" t="s">
        <v>216</v>
      </c>
      <c r="P24" s="157">
        <v>8.5</v>
      </c>
      <c r="Q24" s="157"/>
      <c r="R24" s="157"/>
      <c r="S24" s="157"/>
      <c r="T24" s="157"/>
      <c r="U24" s="157"/>
      <c r="V24" s="180"/>
      <c r="W24" s="157"/>
      <c r="X24" s="158"/>
      <c r="Y24" s="133"/>
    </row>
    <row r="25" spans="1:25" ht="16.05" customHeight="1" thickTop="1" thickBot="1" x14ac:dyDescent="0.35">
      <c r="A25" s="150"/>
      <c r="B25" s="487"/>
      <c r="C25" s="125" t="s">
        <v>94</v>
      </c>
      <c r="D25" s="126">
        <v>44363</v>
      </c>
      <c r="E25" s="127">
        <v>0.35416666666666669</v>
      </c>
      <c r="F25" s="127">
        <v>0.51041666666666663</v>
      </c>
      <c r="G25" s="128">
        <f t="shared" si="0"/>
        <v>3.7499999999999987</v>
      </c>
      <c r="H25" s="127">
        <v>0.54166666666666663</v>
      </c>
      <c r="I25" s="127">
        <v>0.73958333333333337</v>
      </c>
      <c r="J25" s="128">
        <f t="shared" si="2"/>
        <v>4.7500000000000018</v>
      </c>
      <c r="K25" s="115">
        <v>8.5</v>
      </c>
      <c r="L25" s="147">
        <f t="shared" si="3"/>
        <v>8.5</v>
      </c>
      <c r="M25" s="479"/>
      <c r="N25" s="193">
        <f t="shared" si="1"/>
        <v>-8.8817841970012523E-16</v>
      </c>
      <c r="O25" s="159"/>
      <c r="P25" s="157"/>
      <c r="Q25" s="157" t="s">
        <v>204</v>
      </c>
      <c r="R25" s="157">
        <v>8.5</v>
      </c>
      <c r="S25" s="157"/>
      <c r="T25" s="157"/>
      <c r="U25" s="157"/>
      <c r="V25" s="180"/>
      <c r="W25" s="157"/>
      <c r="X25" s="158"/>
      <c r="Y25" s="133"/>
    </row>
    <row r="26" spans="1:25" ht="16.05" customHeight="1" thickTop="1" thickBot="1" x14ac:dyDescent="0.35">
      <c r="A26" s="150"/>
      <c r="B26" s="487"/>
      <c r="C26" s="125" t="s">
        <v>95</v>
      </c>
      <c r="D26" s="126">
        <v>44364</v>
      </c>
      <c r="E26" s="127">
        <v>0.35416666666666669</v>
      </c>
      <c r="F26" s="127">
        <v>0.51041666666666663</v>
      </c>
      <c r="G26" s="128">
        <f t="shared" si="0"/>
        <v>3.7499999999999987</v>
      </c>
      <c r="H26" s="127">
        <v>0.54166666666666663</v>
      </c>
      <c r="I26" s="127">
        <v>0.73958333333333337</v>
      </c>
      <c r="J26" s="128">
        <f t="shared" si="2"/>
        <v>4.7500000000000018</v>
      </c>
      <c r="K26" s="115">
        <v>8.5</v>
      </c>
      <c r="L26" s="147">
        <f t="shared" si="3"/>
        <v>8.5</v>
      </c>
      <c r="M26" s="479"/>
      <c r="N26" s="193">
        <f t="shared" si="1"/>
        <v>-8.8817841970012523E-16</v>
      </c>
      <c r="O26" s="159"/>
      <c r="P26" s="157"/>
      <c r="Q26" s="157" t="s">
        <v>204</v>
      </c>
      <c r="R26" s="157">
        <v>8.5</v>
      </c>
      <c r="S26" s="157"/>
      <c r="T26" s="157"/>
      <c r="U26" s="157"/>
      <c r="V26" s="180"/>
      <c r="W26" s="157"/>
      <c r="X26" s="158"/>
      <c r="Y26" s="133"/>
    </row>
    <row r="27" spans="1:25" ht="16.05" customHeight="1" thickTop="1" thickBot="1" x14ac:dyDescent="0.35">
      <c r="A27" s="150"/>
      <c r="B27" s="487"/>
      <c r="C27" s="125" t="s">
        <v>96</v>
      </c>
      <c r="D27" s="126">
        <v>44365</v>
      </c>
      <c r="E27" s="127">
        <v>0.35416666666666669</v>
      </c>
      <c r="F27" s="127">
        <v>0.51041666666666663</v>
      </c>
      <c r="G27" s="128">
        <f t="shared" si="0"/>
        <v>3.7499999999999987</v>
      </c>
      <c r="H27" s="127">
        <v>0.54166666666666663</v>
      </c>
      <c r="I27" s="127">
        <v>0.71875</v>
      </c>
      <c r="J27" s="128">
        <f t="shared" si="2"/>
        <v>4.2500000000000009</v>
      </c>
      <c r="K27" s="115">
        <v>8</v>
      </c>
      <c r="L27" s="147">
        <f t="shared" si="3"/>
        <v>8</v>
      </c>
      <c r="M27" s="479"/>
      <c r="N27" s="193">
        <f t="shared" si="1"/>
        <v>-8.8817841970012523E-16</v>
      </c>
      <c r="O27" s="159"/>
      <c r="P27" s="157"/>
      <c r="Q27" s="157" t="s">
        <v>204</v>
      </c>
      <c r="R27" s="157">
        <v>8</v>
      </c>
      <c r="S27" s="157"/>
      <c r="T27" s="157"/>
      <c r="U27" s="157"/>
      <c r="V27" s="180"/>
      <c r="W27" s="157"/>
      <c r="X27" s="158"/>
      <c r="Y27" s="133"/>
    </row>
    <row r="28" spans="1:25" ht="1.35" customHeight="1" thickTop="1" thickBot="1" x14ac:dyDescent="0.35">
      <c r="A28" s="150"/>
      <c r="B28" s="185"/>
      <c r="C28" s="143" t="s">
        <v>97</v>
      </c>
      <c r="D28" s="144">
        <v>44366</v>
      </c>
      <c r="E28" s="145"/>
      <c r="F28" s="145"/>
      <c r="G28" s="151">
        <f t="shared" si="0"/>
        <v>0</v>
      </c>
      <c r="H28" s="145"/>
      <c r="I28" s="145"/>
      <c r="J28" s="151">
        <f t="shared" si="2"/>
        <v>0</v>
      </c>
      <c r="K28" s="146">
        <v>8</v>
      </c>
      <c r="L28" s="148">
        <f>K28</f>
        <v>8</v>
      </c>
      <c r="M28" s="479"/>
      <c r="N28" s="193">
        <f t="shared" si="1"/>
        <v>-8.8817841970012523E-16</v>
      </c>
      <c r="O28" s="161"/>
      <c r="P28" s="162"/>
      <c r="Q28" s="162"/>
      <c r="R28" s="162"/>
      <c r="S28" s="162"/>
      <c r="T28" s="162"/>
      <c r="U28" s="162"/>
      <c r="V28" s="181"/>
      <c r="W28" s="162"/>
      <c r="X28" s="164"/>
      <c r="Y28" s="133"/>
    </row>
    <row r="29" spans="1:25" ht="1.35" customHeight="1" thickTop="1" thickBot="1" x14ac:dyDescent="0.35">
      <c r="A29" s="150"/>
      <c r="B29" s="185"/>
      <c r="C29" s="143" t="s">
        <v>98</v>
      </c>
      <c r="D29" s="144">
        <v>44367</v>
      </c>
      <c r="E29" s="145"/>
      <c r="F29" s="145"/>
      <c r="G29" s="151">
        <f t="shared" si="0"/>
        <v>0</v>
      </c>
      <c r="H29" s="145"/>
      <c r="I29" s="145"/>
      <c r="J29" s="151">
        <f t="shared" si="2"/>
        <v>0</v>
      </c>
      <c r="K29" s="146">
        <v>8</v>
      </c>
      <c r="L29" s="148">
        <f>K29</f>
        <v>8</v>
      </c>
      <c r="M29" s="479"/>
      <c r="N29" s="193">
        <f t="shared" si="1"/>
        <v>-8.8817841970012523E-16</v>
      </c>
      <c r="O29" s="161"/>
      <c r="P29" s="162"/>
      <c r="Q29" s="162"/>
      <c r="R29" s="162"/>
      <c r="S29" s="162"/>
      <c r="T29" s="162"/>
      <c r="U29" s="162"/>
      <c r="V29" s="181"/>
      <c r="W29" s="162"/>
      <c r="X29" s="164"/>
      <c r="Y29" s="133"/>
    </row>
    <row r="30" spans="1:25" ht="16.05" customHeight="1" thickTop="1" thickBot="1" x14ac:dyDescent="0.35">
      <c r="A30" s="150"/>
      <c r="B30" s="487">
        <f>WEEKNUM(D30,2)</f>
        <v>26</v>
      </c>
      <c r="C30" s="125" t="s">
        <v>99</v>
      </c>
      <c r="D30" s="126">
        <v>44368</v>
      </c>
      <c r="E30" s="127">
        <v>0.33333333333333331</v>
      </c>
      <c r="F30" s="127">
        <v>0.51041666666666663</v>
      </c>
      <c r="G30" s="128">
        <f t="shared" si="0"/>
        <v>4.25</v>
      </c>
      <c r="H30" s="127">
        <v>0.54166666666666663</v>
      </c>
      <c r="I30" s="127">
        <v>0.75</v>
      </c>
      <c r="J30" s="128">
        <f t="shared" si="2"/>
        <v>5.0000000000000009</v>
      </c>
      <c r="K30" s="115">
        <v>8.5</v>
      </c>
      <c r="L30" s="147">
        <f t="shared" si="3"/>
        <v>9.25</v>
      </c>
      <c r="M30" s="479"/>
      <c r="N30" s="193">
        <f t="shared" si="1"/>
        <v>0.74999999999999911</v>
      </c>
      <c r="O30" s="159">
        <v>6.5</v>
      </c>
      <c r="P30" s="157"/>
      <c r="Q30" s="157" t="s">
        <v>204</v>
      </c>
      <c r="R30" s="157">
        <v>7</v>
      </c>
      <c r="S30" s="157" t="s">
        <v>230</v>
      </c>
      <c r="T30" s="157">
        <v>1</v>
      </c>
      <c r="U30" s="157" t="s">
        <v>231</v>
      </c>
      <c r="V30" s="180">
        <v>1.25</v>
      </c>
      <c r="W30" s="157"/>
      <c r="X30" s="158"/>
      <c r="Y30" s="133"/>
    </row>
    <row r="31" spans="1:25" ht="16.05" customHeight="1" thickTop="1" thickBot="1" x14ac:dyDescent="0.35">
      <c r="A31" s="150"/>
      <c r="B31" s="487"/>
      <c r="C31" s="125" t="s">
        <v>93</v>
      </c>
      <c r="D31" s="126">
        <v>44369</v>
      </c>
      <c r="E31" s="127">
        <v>0.33333333333333331</v>
      </c>
      <c r="F31" s="127">
        <v>0.51041666666666663</v>
      </c>
      <c r="G31" s="128">
        <f t="shared" ref="G31" si="4">(F31-E31)*24</f>
        <v>4.25</v>
      </c>
      <c r="H31" s="127">
        <v>0.54166666666666663</v>
      </c>
      <c r="I31" s="127">
        <v>0.72916666666666663</v>
      </c>
      <c r="J31" s="128">
        <f t="shared" si="2"/>
        <v>4.5</v>
      </c>
      <c r="K31" s="115">
        <v>8.5</v>
      </c>
      <c r="L31" s="147">
        <f t="shared" si="3"/>
        <v>8.75</v>
      </c>
      <c r="M31" s="479"/>
      <c r="N31" s="193">
        <f t="shared" si="1"/>
        <v>0.99999999999999911</v>
      </c>
      <c r="O31" s="159"/>
      <c r="P31" s="157"/>
      <c r="Q31" s="157" t="s">
        <v>204</v>
      </c>
      <c r="R31" s="157">
        <v>6</v>
      </c>
      <c r="S31" s="157" t="s">
        <v>233</v>
      </c>
      <c r="T31" s="157">
        <v>2.75</v>
      </c>
      <c r="U31" s="157"/>
      <c r="V31" s="180"/>
      <c r="W31" s="157"/>
      <c r="X31" s="158"/>
      <c r="Y31" s="121"/>
    </row>
    <row r="32" spans="1:25" ht="16.05" customHeight="1" thickTop="1" thickBot="1" x14ac:dyDescent="0.35">
      <c r="A32" s="150"/>
      <c r="B32" s="487"/>
      <c r="C32" s="125" t="s">
        <v>94</v>
      </c>
      <c r="D32" s="126">
        <v>44370</v>
      </c>
      <c r="E32" s="127">
        <v>0.34375</v>
      </c>
      <c r="F32" s="127">
        <v>0.51041666666666663</v>
      </c>
      <c r="G32" s="128">
        <f t="shared" si="0"/>
        <v>3.9999999999999991</v>
      </c>
      <c r="H32" s="127">
        <v>0.54166666666666663</v>
      </c>
      <c r="I32" s="127">
        <v>0.72916666666666663</v>
      </c>
      <c r="J32" s="128">
        <f t="shared" si="2"/>
        <v>4.5</v>
      </c>
      <c r="K32" s="115">
        <v>8.5</v>
      </c>
      <c r="L32" s="147">
        <f t="shared" si="3"/>
        <v>8.5</v>
      </c>
      <c r="M32" s="479"/>
      <c r="N32" s="193">
        <f t="shared" si="1"/>
        <v>0.99999999999999911</v>
      </c>
      <c r="O32" s="159"/>
      <c r="P32" s="157"/>
      <c r="Q32" s="157" t="s">
        <v>233</v>
      </c>
      <c r="R32" s="157">
        <v>8.5</v>
      </c>
      <c r="S32" s="157"/>
      <c r="T32" s="157"/>
      <c r="U32" s="157"/>
      <c r="V32" s="180"/>
      <c r="W32" s="157"/>
      <c r="X32" s="158"/>
      <c r="Y32" s="121"/>
    </row>
    <row r="33" spans="1:25" ht="16.05" customHeight="1" thickTop="1" thickBot="1" x14ac:dyDescent="0.35">
      <c r="A33" s="150"/>
      <c r="B33" s="487"/>
      <c r="C33" s="125" t="s">
        <v>95</v>
      </c>
      <c r="D33" s="126">
        <v>44371</v>
      </c>
      <c r="E33" s="127">
        <v>0.34375</v>
      </c>
      <c r="F33" s="127">
        <v>0.51041666666666663</v>
      </c>
      <c r="G33" s="128">
        <f t="shared" si="0"/>
        <v>3.9999999999999991</v>
      </c>
      <c r="H33" s="127">
        <v>0.55208333333333337</v>
      </c>
      <c r="I33" s="127">
        <v>0.73958333333333337</v>
      </c>
      <c r="J33" s="128">
        <f t="shared" si="2"/>
        <v>4.5</v>
      </c>
      <c r="K33" s="115">
        <v>8.5</v>
      </c>
      <c r="L33" s="147">
        <f t="shared" si="3"/>
        <v>8.5</v>
      </c>
      <c r="M33" s="479"/>
      <c r="N33" s="193">
        <f t="shared" si="1"/>
        <v>0.99999999999999911</v>
      </c>
      <c r="O33" s="159"/>
      <c r="P33" s="157"/>
      <c r="Q33" s="157" t="s">
        <v>233</v>
      </c>
      <c r="R33" s="157">
        <v>6.5</v>
      </c>
      <c r="S33" s="157" t="s">
        <v>234</v>
      </c>
      <c r="T33" s="157">
        <v>2</v>
      </c>
      <c r="U33" s="157"/>
      <c r="V33" s="180"/>
      <c r="W33" s="157"/>
      <c r="X33" s="158"/>
      <c r="Y33" s="121"/>
    </row>
    <row r="34" spans="1:25" ht="16.05" customHeight="1" thickTop="1" thickBot="1" x14ac:dyDescent="0.35">
      <c r="A34" s="150"/>
      <c r="B34" s="487"/>
      <c r="C34" s="125" t="s">
        <v>96</v>
      </c>
      <c r="D34" s="126">
        <v>44372</v>
      </c>
      <c r="E34" s="127">
        <v>0.34375</v>
      </c>
      <c r="F34" s="127">
        <v>0.51041666666666663</v>
      </c>
      <c r="G34" s="128">
        <f t="shared" si="0"/>
        <v>3.9999999999999991</v>
      </c>
      <c r="H34" s="127">
        <v>0.55208333333333337</v>
      </c>
      <c r="I34" s="127">
        <v>0.69791666666666663</v>
      </c>
      <c r="J34" s="128">
        <f t="shared" si="2"/>
        <v>3.4999999999999982</v>
      </c>
      <c r="K34" s="115">
        <v>8</v>
      </c>
      <c r="L34" s="147">
        <f t="shared" si="3"/>
        <v>7.4999999999999973</v>
      </c>
      <c r="M34" s="479"/>
      <c r="N34" s="193">
        <f t="shared" si="1"/>
        <v>0.49999999999999645</v>
      </c>
      <c r="O34" s="159"/>
      <c r="P34" s="157"/>
      <c r="Q34" s="157" t="s">
        <v>235</v>
      </c>
      <c r="R34" s="157">
        <v>4</v>
      </c>
      <c r="S34" s="157" t="s">
        <v>236</v>
      </c>
      <c r="T34" s="157">
        <v>3.5</v>
      </c>
      <c r="U34" s="157"/>
      <c r="V34" s="180"/>
      <c r="W34" s="157"/>
      <c r="X34" s="158"/>
      <c r="Y34" s="121"/>
    </row>
    <row r="35" spans="1:25" ht="1.35" customHeight="1" thickTop="1" thickBot="1" x14ac:dyDescent="0.35">
      <c r="A35" s="150"/>
      <c r="B35" s="185"/>
      <c r="C35" s="143" t="s">
        <v>97</v>
      </c>
      <c r="D35" s="144">
        <v>44373</v>
      </c>
      <c r="E35" s="145"/>
      <c r="F35" s="145"/>
      <c r="G35" s="151">
        <f t="shared" si="0"/>
        <v>0</v>
      </c>
      <c r="H35" s="145"/>
      <c r="I35" s="145"/>
      <c r="J35" s="151">
        <f t="shared" si="2"/>
        <v>0</v>
      </c>
      <c r="K35" s="146">
        <v>8</v>
      </c>
      <c r="L35" s="148">
        <f>K35</f>
        <v>8</v>
      </c>
      <c r="M35" s="479"/>
      <c r="N35" s="193">
        <f t="shared" si="1"/>
        <v>0.49999999999999645</v>
      </c>
      <c r="O35" s="161"/>
      <c r="P35" s="162"/>
      <c r="Q35" s="162"/>
      <c r="R35" s="162"/>
      <c r="S35" s="162"/>
      <c r="T35" s="162"/>
      <c r="U35" s="162"/>
      <c r="V35" s="181"/>
      <c r="W35" s="162"/>
      <c r="X35" s="164"/>
      <c r="Y35" s="121"/>
    </row>
    <row r="36" spans="1:25" ht="1.35" customHeight="1" thickTop="1" thickBot="1" x14ac:dyDescent="0.35">
      <c r="A36" s="150"/>
      <c r="B36" s="185"/>
      <c r="C36" s="143" t="s">
        <v>98</v>
      </c>
      <c r="D36" s="144">
        <v>44374</v>
      </c>
      <c r="E36" s="145"/>
      <c r="F36" s="145"/>
      <c r="G36" s="151">
        <f t="shared" si="0"/>
        <v>0</v>
      </c>
      <c r="H36" s="145"/>
      <c r="I36" s="145"/>
      <c r="J36" s="151">
        <f t="shared" si="2"/>
        <v>0</v>
      </c>
      <c r="K36" s="146">
        <v>8</v>
      </c>
      <c r="L36" s="148">
        <f>K36</f>
        <v>8</v>
      </c>
      <c r="M36" s="479"/>
      <c r="N36" s="193">
        <f t="shared" si="1"/>
        <v>0.49999999999999645</v>
      </c>
      <c r="O36" s="161"/>
      <c r="P36" s="162"/>
      <c r="Q36" s="162"/>
      <c r="R36" s="162"/>
      <c r="S36" s="162"/>
      <c r="T36" s="162"/>
      <c r="U36" s="162"/>
      <c r="V36" s="181"/>
      <c r="W36" s="162"/>
      <c r="X36" s="164"/>
      <c r="Y36" s="121"/>
    </row>
    <row r="37" spans="1:25" ht="16.05" customHeight="1" thickTop="1" thickBot="1" x14ac:dyDescent="0.35">
      <c r="A37" s="150"/>
      <c r="B37" s="487">
        <f>WEEKNUM(D37,2)</f>
        <v>27</v>
      </c>
      <c r="C37" s="125" t="s">
        <v>99</v>
      </c>
      <c r="D37" s="126">
        <v>44375</v>
      </c>
      <c r="E37" s="127">
        <v>0.34375</v>
      </c>
      <c r="F37" s="127">
        <v>0.51041666666666663</v>
      </c>
      <c r="G37" s="128">
        <f t="shared" si="0"/>
        <v>3.9999999999999991</v>
      </c>
      <c r="H37" s="127">
        <v>0.55208333333333337</v>
      </c>
      <c r="I37" s="127">
        <v>0.73958333333333337</v>
      </c>
      <c r="J37" s="128">
        <f t="shared" si="2"/>
        <v>4.5</v>
      </c>
      <c r="K37" s="115">
        <v>8.5</v>
      </c>
      <c r="L37" s="147">
        <f t="shared" si="3"/>
        <v>8.5</v>
      </c>
      <c r="M37" s="479"/>
      <c r="N37" s="193">
        <f t="shared" si="1"/>
        <v>0.49999999999999645</v>
      </c>
      <c r="O37" s="159"/>
      <c r="P37" s="157"/>
      <c r="Q37" s="157" t="s">
        <v>238</v>
      </c>
      <c r="R37" s="157">
        <v>3</v>
      </c>
      <c r="S37" s="157" t="s">
        <v>236</v>
      </c>
      <c r="T37" s="157">
        <v>5.5</v>
      </c>
      <c r="U37" s="157"/>
      <c r="V37" s="180"/>
      <c r="W37" s="157"/>
      <c r="X37" s="158"/>
      <c r="Y37" s="121"/>
    </row>
    <row r="38" spans="1:25" ht="16.05" customHeight="1" thickTop="1" thickBot="1" x14ac:dyDescent="0.35">
      <c r="A38" s="150"/>
      <c r="B38" s="487"/>
      <c r="C38" s="125" t="s">
        <v>93</v>
      </c>
      <c r="D38" s="126">
        <v>44376</v>
      </c>
      <c r="E38" s="127">
        <v>0.34375</v>
      </c>
      <c r="F38" s="127">
        <v>0.51041666666666663</v>
      </c>
      <c r="G38" s="128">
        <f t="shared" si="0"/>
        <v>3.9999999999999991</v>
      </c>
      <c r="H38" s="127">
        <v>0.55208333333333337</v>
      </c>
      <c r="I38" s="127">
        <v>0.71875</v>
      </c>
      <c r="J38" s="128">
        <f t="shared" si="2"/>
        <v>3.9999999999999991</v>
      </c>
      <c r="K38" s="115">
        <v>8.5</v>
      </c>
      <c r="L38" s="147">
        <f t="shared" si="3"/>
        <v>7.9999999999999982</v>
      </c>
      <c r="M38" s="479"/>
      <c r="N38" s="193">
        <f t="shared" si="1"/>
        <v>-5.3290705182007514E-15</v>
      </c>
      <c r="O38" s="159"/>
      <c r="P38" s="157"/>
      <c r="Q38" s="157" t="s">
        <v>238</v>
      </c>
      <c r="R38" s="157">
        <v>3</v>
      </c>
      <c r="S38" s="157" t="s">
        <v>236</v>
      </c>
      <c r="T38" s="157">
        <v>5</v>
      </c>
      <c r="U38" s="157"/>
      <c r="V38" s="180"/>
      <c r="W38" s="157"/>
      <c r="X38" s="158"/>
      <c r="Y38" s="121"/>
    </row>
    <row r="39" spans="1:25" ht="16.350000000000001" customHeight="1" thickTop="1" thickBot="1" x14ac:dyDescent="0.35">
      <c r="A39" s="150"/>
      <c r="B39" s="487"/>
      <c r="C39" s="191" t="s">
        <v>94</v>
      </c>
      <c r="D39" s="192">
        <v>44377</v>
      </c>
      <c r="E39" s="187"/>
      <c r="F39" s="187"/>
      <c r="G39" s="188">
        <f t="shared" si="0"/>
        <v>0</v>
      </c>
      <c r="H39" s="187"/>
      <c r="I39" s="187"/>
      <c r="J39" s="188">
        <f t="shared" si="2"/>
        <v>0</v>
      </c>
      <c r="K39" s="189">
        <v>8.5</v>
      </c>
      <c r="L39" s="190">
        <v>8.5</v>
      </c>
      <c r="M39" s="480"/>
      <c r="N39" s="193">
        <f t="shared" si="1"/>
        <v>-5.3290705182007514E-15</v>
      </c>
      <c r="O39" s="166"/>
      <c r="P39" s="167"/>
      <c r="Q39" s="167" t="s">
        <v>216</v>
      </c>
      <c r="R39" s="167">
        <v>8.5</v>
      </c>
      <c r="S39" s="167"/>
      <c r="T39" s="167"/>
      <c r="U39" s="167"/>
      <c r="V39" s="182"/>
      <c r="W39" s="167"/>
      <c r="X39" s="168"/>
      <c r="Y39" s="121"/>
    </row>
    <row r="40" spans="1:25" ht="15" thickTop="1" thickBot="1" x14ac:dyDescent="0.3">
      <c r="B40" s="134"/>
      <c r="C40" s="135"/>
      <c r="D40" s="136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86"/>
      <c r="U40" s="135"/>
      <c r="V40" s="135"/>
      <c r="W40" s="135"/>
      <c r="X40" s="135"/>
      <c r="Y40" s="137"/>
    </row>
    <row r="41" spans="1:25" ht="15" thickTop="1" thickBot="1" x14ac:dyDescent="0.3">
      <c r="C41" s="138"/>
      <c r="L41" s="117">
        <f>L10+L11+L12+L13+L16+L17+L18+L19+L20+L23+L24+L25+L26+L27+L30+L31+L32+L33+L34+L37+L38+L39</f>
        <v>185</v>
      </c>
      <c r="P41" s="139"/>
      <c r="Q41" s="140"/>
    </row>
    <row r="42" spans="1:25" ht="16.2" thickBot="1" x14ac:dyDescent="0.35">
      <c r="C42" s="481" t="s">
        <v>225</v>
      </c>
      <c r="D42" s="482"/>
      <c r="E42" s="177">
        <f>E43+E44+E45+E46+E48+E49+E57+E50+E51+E52+E53+E47</f>
        <v>185</v>
      </c>
      <c r="H42" s="200" t="s">
        <v>240</v>
      </c>
      <c r="I42" s="176" t="str">
        <f>IF(L41=E42,"Bon",FALSE)</f>
        <v>Bon</v>
      </c>
      <c r="Q42" s="138"/>
    </row>
    <row r="43" spans="1:25" x14ac:dyDescent="0.25">
      <c r="C43" s="483" t="s">
        <v>72</v>
      </c>
      <c r="D43" s="484"/>
      <c r="E43" s="178">
        <f>SUMIF(O9:O39,"=Formation",P9:P39)+SUMIF(Q9:Q39,"=Formation",R9:R39)+SUMIF(S9:S39,"=Formation",T9:T39)+SUMIF(O9:O39,"=CFPC",P9:P39)+SUMIF(Q9:Q39,"=CFPC",R9:R39)+SUMIF(S9:S39,"=CFPC",T9:T39)</f>
        <v>46.5</v>
      </c>
      <c r="P43" s="139"/>
      <c r="S43" s="141"/>
    </row>
    <row r="44" spans="1:25" x14ac:dyDescent="0.25">
      <c r="C44" s="483" t="s">
        <v>226</v>
      </c>
      <c r="D44" s="488"/>
      <c r="E44" s="179">
        <f>SUMIF(O9:O39,"=AIG*",P9:P39)+SUMIF(Q9:Q39,"=AIG*",R9:R39)+SUMIF(S9:S39,"=AIG*",T9:T39)+SUMIF(U9:U39,"=AIG*",V9:V39)</f>
        <v>73.75</v>
      </c>
      <c r="P44" s="139"/>
      <c r="Q44" s="140"/>
    </row>
    <row r="45" spans="1:25" x14ac:dyDescent="0.25">
      <c r="C45" s="483"/>
      <c r="D45" s="488"/>
      <c r="E45" s="179"/>
      <c r="Q45" s="138"/>
    </row>
    <row r="46" spans="1:25" x14ac:dyDescent="0.25">
      <c r="C46" s="483" t="s">
        <v>171</v>
      </c>
      <c r="D46" s="484"/>
      <c r="E46" s="179">
        <f>SUMIF(O9:O39,"Mudac*",P9:P39)+SUMIF(Q9:Q39,"Mudac*",R9:R39)+SUMIF(S9:S39,"Mudac*",T9:T39)</f>
        <v>7.5</v>
      </c>
    </row>
    <row r="47" spans="1:25" x14ac:dyDescent="0.25">
      <c r="C47" s="483" t="s">
        <v>227</v>
      </c>
      <c r="D47" s="484"/>
      <c r="E47" s="179">
        <f>SUMIF(O9:O39,"Clair*",P9:P39)+SUMIF(Q9:Q39,"Clair*",R9:R39)+SUMIF(S9:S39,"Clair*",T9:T39)</f>
        <v>22.5</v>
      </c>
    </row>
    <row r="48" spans="1:25" x14ac:dyDescent="0.25">
      <c r="C48" s="483" t="s">
        <v>228</v>
      </c>
      <c r="D48" s="484"/>
      <c r="E48" s="179">
        <f>SUMIF(O9:O39,"Pré*",P9:P39)+SUMIF(Q9:Q39,"Pré*",R9:R39)+SUMIF(S9:S39,"Pré*",T9:T39)</f>
        <v>8.5</v>
      </c>
    </row>
    <row r="49" spans="3:5" x14ac:dyDescent="0.25">
      <c r="C49" s="483" t="s">
        <v>230</v>
      </c>
      <c r="D49" s="484"/>
      <c r="E49" s="179">
        <f>SUMIF(O9:O39,"conf*",P9:P39)+SUMIF(Q9:Q39,"conf*",R9:R39)+SUMIF(S9:S39,"conf*",T9:T39)</f>
        <v>1</v>
      </c>
    </row>
    <row r="50" spans="3:5" x14ac:dyDescent="0.25">
      <c r="C50" s="483" t="s">
        <v>231</v>
      </c>
      <c r="D50" s="484"/>
      <c r="E50" s="179">
        <f>SUMIF(O9:O39,"Rés*",P9:P39)+SUMIF(Q9:Q39,"Rés*",R9:R39)+SUMIF(S9:S39,"Rés*",T9:T39)+SUMIF(U9:U39,"Rés*",V9:V39)</f>
        <v>1.25</v>
      </c>
    </row>
    <row r="51" spans="3:5" x14ac:dyDescent="0.25">
      <c r="C51" s="483" t="s">
        <v>237</v>
      </c>
      <c r="D51" s="484"/>
      <c r="E51" s="179">
        <f>SUMIF(O9:O39,"MAD*",P9:P39)+SUMIF(Q9:Q39,"MAD*",R9:R39)+SUMIF(S9:S39,"MAD*",T9:T39)+SUMIF(U9:U39,"MAD*",V9:V39)</f>
        <v>14</v>
      </c>
    </row>
    <row r="52" spans="3:5" x14ac:dyDescent="0.25">
      <c r="C52" s="483" t="s">
        <v>235</v>
      </c>
      <c r="D52" s="484"/>
      <c r="E52" s="179">
        <f>SUMIF(O9:O39,"CG1*",P9:P39)+SUMIF(Q9:Q39,"CG1*",R9:R39)+SUMIF(S9:S39,"CG1*",T9:T39)+SUMIF(U9:U39,"CG1*",V9:V39)</f>
        <v>4</v>
      </c>
    </row>
    <row r="53" spans="3:5" ht="14.4" thickBot="1" x14ac:dyDescent="0.3">
      <c r="C53" s="485" t="s">
        <v>239</v>
      </c>
      <c r="D53" s="486"/>
      <c r="E53" s="183">
        <v>6</v>
      </c>
    </row>
    <row r="54" spans="3:5" x14ac:dyDescent="0.25">
      <c r="C54" s="138"/>
    </row>
    <row r="55" spans="3:5" x14ac:dyDescent="0.25">
      <c r="C55" s="138"/>
    </row>
    <row r="56" spans="3:5" x14ac:dyDescent="0.25">
      <c r="C56" s="138"/>
    </row>
    <row r="57" spans="3:5" x14ac:dyDescent="0.25">
      <c r="C57" s="138"/>
    </row>
    <row r="58" spans="3:5" x14ac:dyDescent="0.25">
      <c r="C58" s="138"/>
    </row>
    <row r="59" spans="3:5" x14ac:dyDescent="0.25">
      <c r="C59" s="138"/>
    </row>
    <row r="60" spans="3:5" x14ac:dyDescent="0.25">
      <c r="C60" s="138"/>
    </row>
    <row r="61" spans="3:5" x14ac:dyDescent="0.25">
      <c r="C61" s="138"/>
    </row>
    <row r="62" spans="3:5" x14ac:dyDescent="0.25">
      <c r="C62" s="138"/>
    </row>
    <row r="63" spans="3:5" x14ac:dyDescent="0.25">
      <c r="C63" s="138"/>
    </row>
    <row r="64" spans="3:5" x14ac:dyDescent="0.25">
      <c r="C64" s="138"/>
    </row>
    <row r="65" spans="3:4" x14ac:dyDescent="0.25">
      <c r="C65" s="138"/>
    </row>
    <row r="66" spans="3:4" x14ac:dyDescent="0.25">
      <c r="D66" s="142"/>
    </row>
    <row r="67" spans="3:4" x14ac:dyDescent="0.25">
      <c r="D67" s="142"/>
    </row>
    <row r="68" spans="3:4" x14ac:dyDescent="0.25">
      <c r="D68" s="142"/>
    </row>
    <row r="69" spans="3:4" x14ac:dyDescent="0.25">
      <c r="D69" s="142"/>
    </row>
    <row r="70" spans="3:4" x14ac:dyDescent="0.25">
      <c r="D70" s="142"/>
    </row>
    <row r="71" spans="3:4" x14ac:dyDescent="0.25">
      <c r="D71" s="142"/>
    </row>
    <row r="72" spans="3:4" x14ac:dyDescent="0.25">
      <c r="D72" s="142"/>
    </row>
    <row r="73" spans="3:4" x14ac:dyDescent="0.25">
      <c r="D73" s="142"/>
    </row>
    <row r="74" spans="3:4" x14ac:dyDescent="0.25">
      <c r="D74" s="142"/>
    </row>
    <row r="75" spans="3:4" x14ac:dyDescent="0.25">
      <c r="D75" s="142"/>
    </row>
    <row r="76" spans="3:4" x14ac:dyDescent="0.25">
      <c r="D76" s="142"/>
    </row>
    <row r="77" spans="3:4" x14ac:dyDescent="0.25">
      <c r="D77" s="142"/>
    </row>
    <row r="78" spans="3:4" x14ac:dyDescent="0.25">
      <c r="D78" s="142"/>
    </row>
    <row r="79" spans="3:4" x14ac:dyDescent="0.25">
      <c r="D79" s="142"/>
    </row>
    <row r="80" spans="3:4" x14ac:dyDescent="0.25">
      <c r="D80" s="142"/>
    </row>
    <row r="81" spans="4:4" x14ac:dyDescent="0.25">
      <c r="D81" s="142"/>
    </row>
    <row r="82" spans="4:4" x14ac:dyDescent="0.25">
      <c r="D82" s="142"/>
    </row>
    <row r="83" spans="4:4" x14ac:dyDescent="0.25">
      <c r="D83" s="142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22" spans="4:4" x14ac:dyDescent="0.25">
      <c r="D122" s="142"/>
    </row>
    <row r="123" spans="4:4" x14ac:dyDescent="0.25">
      <c r="D123" s="142"/>
    </row>
  </sheetData>
  <mergeCells count="20">
    <mergeCell ref="B30:B34"/>
    <mergeCell ref="B23:B27"/>
    <mergeCell ref="B16:B20"/>
    <mergeCell ref="B9:B13"/>
    <mergeCell ref="C50:D50"/>
    <mergeCell ref="C44:D44"/>
    <mergeCell ref="C51:D51"/>
    <mergeCell ref="C52:D52"/>
    <mergeCell ref="C53:D53"/>
    <mergeCell ref="B37:B39"/>
    <mergeCell ref="C45:D45"/>
    <mergeCell ref="C46:D46"/>
    <mergeCell ref="C47:D47"/>
    <mergeCell ref="C48:D48"/>
    <mergeCell ref="C49:D49"/>
    <mergeCell ref="C6:X6"/>
    <mergeCell ref="C7:L7"/>
    <mergeCell ref="M7:M39"/>
    <mergeCell ref="C42:D42"/>
    <mergeCell ref="C43:D43"/>
  </mergeCells>
  <conditionalFormatting sqref="L9:L39">
    <cfRule type="expression" dxfId="69" priority="25">
      <formula>L9=0</formula>
    </cfRule>
    <cfRule type="expression" dxfId="68" priority="26">
      <formula>L9&gt;K9</formula>
    </cfRule>
    <cfRule type="expression" dxfId="67" priority="27">
      <formula>L9&lt;K9</formula>
    </cfRule>
    <cfRule type="expression" dxfId="66" priority="28">
      <formula>L9&gt;=K9</formula>
    </cfRule>
  </conditionalFormatting>
  <conditionalFormatting sqref="D9:D39">
    <cfRule type="expression" dxfId="65" priority="4">
      <formula>D9=TODAY()</formula>
    </cfRule>
    <cfRule type="expression" dxfId="64" priority="5">
      <formula>D9&lt;TODAY()</formula>
    </cfRule>
  </conditionalFormatting>
  <conditionalFormatting sqref="I42">
    <cfRule type="expression" dxfId="63" priority="1">
      <formula>AND(L41&lt;&gt;E42)</formula>
    </cfRule>
    <cfRule type="expression" dxfId="62" priority="2">
      <formula>AND(L41=E42)</formula>
    </cfRule>
  </conditionalFormatting>
  <dataValidations disablePrompts="1" count="1">
    <dataValidation type="list" allowBlank="1" showInputMessage="1" showErrorMessage="1" sqref="E40 G40" xr:uid="{00000000-0002-0000-0900-000000000000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fitToWidth="5" fitToHeight="6" orientation="landscape" r:id="rId1"/>
  <headerFooter>
    <oddHeader xml:space="preserve">&amp;C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4" tint="-0.499984740745262"/>
    <pageSetUpPr fitToPage="1"/>
  </sheetPr>
  <dimension ref="A1:Y123"/>
  <sheetViews>
    <sheetView showGridLines="0" showZeros="0" showRuler="0" topLeftCell="B46" zoomScale="130" zoomScaleNormal="130" zoomScaleSheetLayoutView="100" zoomScalePageLayoutView="70" workbookViewId="0">
      <selection activeCell="M59" sqref="M59"/>
    </sheetView>
  </sheetViews>
  <sheetFormatPr baseColWidth="10" defaultColWidth="11" defaultRowHeight="13.8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2" width="9.296875" style="117" customWidth="1"/>
    <col min="13" max="13" width="1.59765625" style="117" customWidth="1"/>
    <col min="14" max="14" width="9.29687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16384" width="11" style="117"/>
  </cols>
  <sheetData>
    <row r="1" spans="1:25" ht="13.95" customHeight="1" x14ac:dyDescent="0.25">
      <c r="C1" s="174"/>
    </row>
    <row r="2" spans="1:25" ht="16.5" customHeight="1" x14ac:dyDescent="0.25"/>
    <row r="3" spans="1:25" ht="16.5" customHeight="1" x14ac:dyDescent="0.25">
      <c r="F3" s="142"/>
    </row>
    <row r="4" spans="1:25" ht="16.5" customHeight="1" x14ac:dyDescent="0.25">
      <c r="D4" s="173" t="s">
        <v>219</v>
      </c>
    </row>
    <row r="5" spans="1:25" ht="16.5" customHeight="1" thickBot="1" x14ac:dyDescent="0.3">
      <c r="C5" s="176" t="s">
        <v>220</v>
      </c>
      <c r="D5" s="175">
        <f ca="1">TODAY()</f>
        <v>44935</v>
      </c>
    </row>
    <row r="6" spans="1:25" ht="16.350000000000001" customHeight="1" thickTop="1" thickBot="1" x14ac:dyDescent="0.35">
      <c r="B6" s="118"/>
      <c r="C6" s="473" t="s">
        <v>232</v>
      </c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V6" s="474"/>
      <c r="W6" s="474"/>
      <c r="X6" s="474"/>
      <c r="Y6" s="119"/>
    </row>
    <row r="7" spans="1:25" ht="16.350000000000001" customHeight="1" thickTop="1" thickBot="1" x14ac:dyDescent="0.3">
      <c r="B7" s="120"/>
      <c r="C7" s="475" t="s">
        <v>21</v>
      </c>
      <c r="D7" s="476"/>
      <c r="E7" s="476"/>
      <c r="F7" s="476"/>
      <c r="G7" s="476"/>
      <c r="H7" s="476"/>
      <c r="I7" s="476"/>
      <c r="J7" s="476"/>
      <c r="K7" s="476"/>
      <c r="L7" s="477"/>
      <c r="M7" s="478"/>
      <c r="N7" s="152" t="s">
        <v>205</v>
      </c>
      <c r="O7" s="153"/>
      <c r="P7" s="154"/>
      <c r="Q7" s="155"/>
      <c r="R7" s="155"/>
      <c r="S7" s="155"/>
      <c r="T7" s="155"/>
      <c r="U7" s="155"/>
      <c r="V7" s="155"/>
      <c r="W7" s="155"/>
      <c r="X7" s="156"/>
      <c r="Y7" s="121"/>
    </row>
    <row r="8" spans="1:25" ht="16.350000000000001" customHeight="1" thickTop="1" thickBot="1" x14ac:dyDescent="0.3">
      <c r="B8" s="122"/>
      <c r="C8" s="169" t="s">
        <v>214</v>
      </c>
      <c r="D8" s="170" t="s">
        <v>215</v>
      </c>
      <c r="E8" s="170" t="s">
        <v>210</v>
      </c>
      <c r="F8" s="170" t="s">
        <v>211</v>
      </c>
      <c r="G8" s="195" t="s">
        <v>206</v>
      </c>
      <c r="H8" s="170" t="s">
        <v>212</v>
      </c>
      <c r="I8" s="170" t="s">
        <v>213</v>
      </c>
      <c r="J8" s="195" t="s">
        <v>207</v>
      </c>
      <c r="K8" s="172" t="s">
        <v>209</v>
      </c>
      <c r="L8" s="170" t="s">
        <v>208</v>
      </c>
      <c r="M8" s="479"/>
      <c r="N8" s="123"/>
      <c r="O8" s="124"/>
      <c r="P8" s="180"/>
      <c r="Q8" s="157"/>
      <c r="R8" s="180"/>
      <c r="S8" s="157"/>
      <c r="T8" s="180"/>
      <c r="U8" s="157"/>
      <c r="V8" s="180"/>
      <c r="W8" s="157"/>
      <c r="X8" s="158"/>
      <c r="Y8" s="121"/>
    </row>
    <row r="9" spans="1:25" ht="16.350000000000001" customHeight="1" thickTop="1" thickBot="1" x14ac:dyDescent="0.35">
      <c r="B9" s="487">
        <f>_xlfn.ISOWEEKNUM(D9)</f>
        <v>26</v>
      </c>
      <c r="C9" s="125" t="s">
        <v>99</v>
      </c>
      <c r="D9" s="126">
        <v>44375</v>
      </c>
      <c r="E9" s="127"/>
      <c r="F9" s="127"/>
      <c r="G9" s="132">
        <f>(F9-E9)*24</f>
        <v>0</v>
      </c>
      <c r="H9" s="127"/>
      <c r="I9" s="127"/>
      <c r="J9" s="132">
        <f>(I9-H9)*24</f>
        <v>0</v>
      </c>
      <c r="K9" s="115">
        <v>8.5</v>
      </c>
      <c r="L9" s="147">
        <f>(F9-E9+I9-H9)*24</f>
        <v>0</v>
      </c>
      <c r="M9" s="479"/>
      <c r="N9" s="193">
        <f>IF(L9&gt;0,(L9-K9)+N8,+N8)</f>
        <v>0</v>
      </c>
      <c r="O9" s="159"/>
      <c r="P9" s="157"/>
      <c r="Q9" s="157"/>
      <c r="R9" s="157"/>
      <c r="S9" s="157"/>
      <c r="T9" s="157"/>
      <c r="U9" s="157"/>
      <c r="V9" s="180"/>
      <c r="W9" s="157"/>
      <c r="X9" s="158"/>
      <c r="Y9" s="121"/>
    </row>
    <row r="10" spans="1:25" ht="16.350000000000001" customHeight="1" thickTop="1" thickBot="1" x14ac:dyDescent="0.35">
      <c r="B10" s="487"/>
      <c r="C10" s="125" t="s">
        <v>93</v>
      </c>
      <c r="D10" s="126">
        <v>44376</v>
      </c>
      <c r="E10" s="127"/>
      <c r="F10" s="194"/>
      <c r="G10" s="132">
        <f t="shared" ref="G10:G39" si="0">(F10-E10)*24</f>
        <v>0</v>
      </c>
      <c r="H10" s="194"/>
      <c r="I10" s="127"/>
      <c r="J10" s="132">
        <f t="shared" ref="J10:J13" si="1">(I10-H10)*24</f>
        <v>0</v>
      </c>
      <c r="K10" s="115">
        <v>8</v>
      </c>
      <c r="L10" s="147">
        <v>8</v>
      </c>
      <c r="M10" s="479"/>
      <c r="N10" s="193">
        <f t="shared" ref="N10:N39" si="2">IF(L10&gt;0,(L10-K10)+N9,+N9)</f>
        <v>0</v>
      </c>
      <c r="O10" s="159" t="s">
        <v>103</v>
      </c>
      <c r="P10" s="157">
        <v>8</v>
      </c>
      <c r="Q10" s="157"/>
      <c r="R10" s="157"/>
      <c r="S10" s="157"/>
      <c r="T10" s="157"/>
      <c r="U10" s="157"/>
      <c r="V10" s="180"/>
      <c r="W10" s="157"/>
      <c r="X10" s="158"/>
      <c r="Y10" s="121"/>
    </row>
    <row r="11" spans="1:25" ht="16.350000000000001" customHeight="1" thickTop="1" thickBot="1" x14ac:dyDescent="0.35">
      <c r="A11" s="150"/>
      <c r="B11" s="487"/>
      <c r="C11" s="125" t="s">
        <v>94</v>
      </c>
      <c r="D11" s="126">
        <v>44377</v>
      </c>
      <c r="E11" s="196"/>
      <c r="F11" s="196"/>
      <c r="G11" s="197">
        <f t="shared" si="0"/>
        <v>0</v>
      </c>
      <c r="H11" s="196"/>
      <c r="I11" s="196"/>
      <c r="J11" s="197">
        <f t="shared" si="1"/>
        <v>0</v>
      </c>
      <c r="K11" s="198">
        <v>8.5</v>
      </c>
      <c r="L11" s="199">
        <v>8.5</v>
      </c>
      <c r="M11" s="479"/>
      <c r="N11" s="193">
        <f t="shared" si="2"/>
        <v>0</v>
      </c>
      <c r="O11" s="159" t="s">
        <v>103</v>
      </c>
      <c r="P11" s="157">
        <v>8.5</v>
      </c>
      <c r="Q11" s="157"/>
      <c r="R11" s="157"/>
      <c r="S11" s="157"/>
      <c r="T11" s="157"/>
      <c r="U11" s="157"/>
      <c r="V11" s="180"/>
      <c r="W11" s="157"/>
      <c r="X11" s="158"/>
      <c r="Y11" s="121"/>
    </row>
    <row r="12" spans="1:25" ht="16.350000000000001" customHeight="1" thickTop="1" thickBot="1" x14ac:dyDescent="0.35">
      <c r="A12" s="150"/>
      <c r="B12" s="487"/>
      <c r="C12" s="125" t="s">
        <v>95</v>
      </c>
      <c r="D12" s="126">
        <v>44378</v>
      </c>
      <c r="E12" s="196"/>
      <c r="F12" s="196"/>
      <c r="G12" s="197">
        <f t="shared" si="0"/>
        <v>0</v>
      </c>
      <c r="H12" s="196"/>
      <c r="I12" s="196"/>
      <c r="J12" s="197">
        <f t="shared" si="1"/>
        <v>0</v>
      </c>
      <c r="K12" s="198">
        <v>8.5</v>
      </c>
      <c r="L12" s="199">
        <v>8.5</v>
      </c>
      <c r="M12" s="479"/>
      <c r="N12" s="193">
        <f t="shared" si="2"/>
        <v>0</v>
      </c>
      <c r="O12" s="159" t="s">
        <v>103</v>
      </c>
      <c r="P12" s="157">
        <v>8.5</v>
      </c>
      <c r="Q12" s="157"/>
      <c r="R12" s="157"/>
      <c r="S12" s="160"/>
      <c r="T12" s="157"/>
      <c r="U12" s="157"/>
      <c r="V12" s="180"/>
      <c r="W12" s="157"/>
      <c r="X12" s="158"/>
      <c r="Y12" s="121"/>
    </row>
    <row r="13" spans="1:25" ht="16.05" customHeight="1" thickTop="1" thickBot="1" x14ac:dyDescent="0.35">
      <c r="A13" s="150"/>
      <c r="B13" s="487"/>
      <c r="C13" s="125" t="s">
        <v>96</v>
      </c>
      <c r="D13" s="126">
        <v>44379</v>
      </c>
      <c r="E13" s="196"/>
      <c r="F13" s="196"/>
      <c r="G13" s="197">
        <f t="shared" si="0"/>
        <v>0</v>
      </c>
      <c r="H13" s="196"/>
      <c r="I13" s="196"/>
      <c r="J13" s="197">
        <f t="shared" si="1"/>
        <v>0</v>
      </c>
      <c r="K13" s="198">
        <v>8</v>
      </c>
      <c r="L13" s="199">
        <v>8</v>
      </c>
      <c r="M13" s="479"/>
      <c r="N13" s="193">
        <f t="shared" si="2"/>
        <v>0</v>
      </c>
      <c r="O13" s="159" t="s">
        <v>103</v>
      </c>
      <c r="P13" s="157">
        <v>8</v>
      </c>
      <c r="Q13" s="157"/>
      <c r="R13" s="157"/>
      <c r="S13" s="157"/>
      <c r="T13" s="157"/>
      <c r="U13" s="160"/>
      <c r="V13" s="180"/>
      <c r="W13" s="157"/>
      <c r="X13" s="158"/>
      <c r="Y13" s="121"/>
    </row>
    <row r="14" spans="1:25" ht="1.35" customHeight="1" thickTop="1" thickBot="1" x14ac:dyDescent="0.35">
      <c r="A14" s="150"/>
      <c r="B14" s="122"/>
      <c r="C14" s="143" t="s">
        <v>97</v>
      </c>
      <c r="D14" s="126">
        <v>44380</v>
      </c>
      <c r="E14" s="145"/>
      <c r="F14" s="145"/>
      <c r="G14" s="132">
        <f t="shared" si="0"/>
        <v>0</v>
      </c>
      <c r="H14" s="145"/>
      <c r="I14" s="145"/>
      <c r="J14" s="132">
        <f t="shared" ref="J14:J39" si="3">(I14-H14)*24</f>
        <v>0</v>
      </c>
      <c r="K14" s="146">
        <v>8</v>
      </c>
      <c r="L14" s="148">
        <f>K14</f>
        <v>8</v>
      </c>
      <c r="M14" s="479"/>
      <c r="N14" s="193">
        <f t="shared" si="2"/>
        <v>0</v>
      </c>
      <c r="O14" s="161"/>
      <c r="P14" s="162"/>
      <c r="Q14" s="162"/>
      <c r="R14" s="162"/>
      <c r="S14" s="162"/>
      <c r="T14" s="162"/>
      <c r="U14" s="163"/>
      <c r="V14" s="181"/>
      <c r="W14" s="162"/>
      <c r="X14" s="164"/>
      <c r="Y14" s="121"/>
    </row>
    <row r="15" spans="1:25" ht="1.35" customHeight="1" thickTop="1" thickBot="1" x14ac:dyDescent="0.35">
      <c r="A15" s="150"/>
      <c r="B15" s="122"/>
      <c r="C15" s="143" t="s">
        <v>98</v>
      </c>
      <c r="D15" s="126">
        <v>44381</v>
      </c>
      <c r="E15" s="145"/>
      <c r="F15" s="145"/>
      <c r="G15" s="132">
        <f t="shared" si="0"/>
        <v>0</v>
      </c>
      <c r="H15" s="145"/>
      <c r="I15" s="145"/>
      <c r="J15" s="132">
        <f t="shared" si="3"/>
        <v>0</v>
      </c>
      <c r="K15" s="146">
        <v>8</v>
      </c>
      <c r="L15" s="148">
        <f>K15</f>
        <v>8</v>
      </c>
      <c r="M15" s="479"/>
      <c r="N15" s="193">
        <f t="shared" si="2"/>
        <v>0</v>
      </c>
      <c r="O15" s="161"/>
      <c r="P15" s="162"/>
      <c r="Q15" s="162"/>
      <c r="R15" s="162"/>
      <c r="S15" s="163"/>
      <c r="T15" s="162"/>
      <c r="U15" s="163"/>
      <c r="V15" s="181"/>
      <c r="W15" s="163"/>
      <c r="X15" s="164"/>
      <c r="Y15" s="121"/>
    </row>
    <row r="16" spans="1:25" ht="16.05" customHeight="1" thickTop="1" thickBot="1" x14ac:dyDescent="0.35">
      <c r="A16" s="150"/>
      <c r="B16" s="487">
        <f>_xlfn.ISOWEEKNUM(D16)</f>
        <v>27</v>
      </c>
      <c r="C16" s="125" t="s">
        <v>99</v>
      </c>
      <c r="D16" s="126">
        <v>44382</v>
      </c>
      <c r="E16" s="127">
        <v>0.33333333333333331</v>
      </c>
      <c r="F16" s="127">
        <v>0.51041666666666663</v>
      </c>
      <c r="G16" s="132">
        <f t="shared" si="0"/>
        <v>4.25</v>
      </c>
      <c r="H16" s="127">
        <v>0.54166666666666663</v>
      </c>
      <c r="I16" s="127">
        <v>0.71875</v>
      </c>
      <c r="J16" s="132">
        <f t="shared" si="3"/>
        <v>4.2500000000000009</v>
      </c>
      <c r="K16" s="115">
        <v>8.5</v>
      </c>
      <c r="L16" s="147">
        <f t="shared" ref="L16:L34" si="4">(F16-E16+I16-H16)*24</f>
        <v>8.5</v>
      </c>
      <c r="M16" s="479"/>
      <c r="N16" s="193">
        <f t="shared" si="2"/>
        <v>0</v>
      </c>
      <c r="O16" s="157" t="s">
        <v>73</v>
      </c>
      <c r="P16" s="157">
        <v>8.5</v>
      </c>
      <c r="S16" s="157"/>
      <c r="T16" s="157"/>
      <c r="U16" s="160"/>
      <c r="V16" s="180"/>
      <c r="W16" s="157"/>
      <c r="X16" s="158"/>
      <c r="Y16" s="121"/>
    </row>
    <row r="17" spans="1:25" ht="16.05" customHeight="1" thickTop="1" thickBot="1" x14ac:dyDescent="0.35">
      <c r="A17" s="150"/>
      <c r="B17" s="487"/>
      <c r="C17" s="125" t="s">
        <v>93</v>
      </c>
      <c r="D17" s="126">
        <v>44383</v>
      </c>
      <c r="E17" s="127">
        <v>0.34375</v>
      </c>
      <c r="F17" s="127">
        <v>0.55208333333333337</v>
      </c>
      <c r="G17" s="132">
        <f t="shared" si="0"/>
        <v>5.0000000000000009</v>
      </c>
      <c r="H17" s="127">
        <v>0.58333333333333337</v>
      </c>
      <c r="I17" s="127">
        <v>0.75</v>
      </c>
      <c r="J17" s="132">
        <f t="shared" si="3"/>
        <v>3.9999999999999991</v>
      </c>
      <c r="K17" s="115">
        <v>8.5</v>
      </c>
      <c r="L17" s="147">
        <f t="shared" si="4"/>
        <v>9</v>
      </c>
      <c r="M17" s="479"/>
      <c r="N17" s="193">
        <f t="shared" si="2"/>
        <v>0.5</v>
      </c>
      <c r="O17" s="157" t="s">
        <v>241</v>
      </c>
      <c r="P17" s="157">
        <v>9</v>
      </c>
      <c r="S17" s="160"/>
      <c r="T17" s="157"/>
      <c r="U17" s="160"/>
      <c r="V17" s="180"/>
      <c r="W17" s="160"/>
      <c r="X17" s="165"/>
      <c r="Y17" s="133"/>
    </row>
    <row r="18" spans="1:25" ht="16.05" customHeight="1" thickTop="1" thickBot="1" x14ac:dyDescent="0.35">
      <c r="A18" s="150"/>
      <c r="B18" s="487"/>
      <c r="C18" s="125" t="s">
        <v>94</v>
      </c>
      <c r="D18" s="126">
        <v>44384</v>
      </c>
      <c r="E18" s="127">
        <v>0.35416666666666669</v>
      </c>
      <c r="F18" s="127">
        <v>0.51041666666666663</v>
      </c>
      <c r="G18" s="132">
        <f t="shared" si="0"/>
        <v>3.7499999999999987</v>
      </c>
      <c r="H18" s="127">
        <v>0.54166666666666663</v>
      </c>
      <c r="I18" s="127">
        <v>0.73958333333333337</v>
      </c>
      <c r="J18" s="132">
        <f t="shared" si="3"/>
        <v>4.7500000000000018</v>
      </c>
      <c r="K18" s="115">
        <v>8.5</v>
      </c>
      <c r="L18" s="147">
        <f t="shared" si="4"/>
        <v>8.5</v>
      </c>
      <c r="M18" s="479"/>
      <c r="N18" s="193">
        <f t="shared" si="2"/>
        <v>0.5</v>
      </c>
      <c r="O18" s="157" t="s">
        <v>241</v>
      </c>
      <c r="P18" s="157">
        <v>8.5</v>
      </c>
      <c r="S18" s="160"/>
      <c r="T18" s="157"/>
      <c r="U18" s="157"/>
      <c r="V18" s="180"/>
      <c r="W18" s="157"/>
      <c r="X18" s="158"/>
      <c r="Y18" s="133"/>
    </row>
    <row r="19" spans="1:25" ht="16.05" customHeight="1" thickTop="1" thickBot="1" x14ac:dyDescent="0.35">
      <c r="A19" s="150"/>
      <c r="B19" s="487"/>
      <c r="C19" s="125" t="s">
        <v>95</v>
      </c>
      <c r="D19" s="126">
        <v>44385</v>
      </c>
      <c r="E19" s="127">
        <v>0.34375</v>
      </c>
      <c r="F19" s="127">
        <v>0.51041666666666663</v>
      </c>
      <c r="G19" s="132">
        <f t="shared" si="0"/>
        <v>3.9999999999999991</v>
      </c>
      <c r="H19" s="127">
        <v>0.55208333333333337</v>
      </c>
      <c r="I19" s="127">
        <v>0.73958333333333337</v>
      </c>
      <c r="J19" s="132">
        <f t="shared" si="3"/>
        <v>4.5</v>
      </c>
      <c r="K19" s="115">
        <v>8.5</v>
      </c>
      <c r="L19" s="147">
        <f t="shared" si="4"/>
        <v>8.5</v>
      </c>
      <c r="M19" s="479"/>
      <c r="N19" s="193">
        <f t="shared" si="2"/>
        <v>0.5</v>
      </c>
      <c r="O19" s="184" t="s">
        <v>5</v>
      </c>
      <c r="P19" s="157">
        <v>8.5</v>
      </c>
      <c r="U19" s="157"/>
      <c r="V19" s="180"/>
      <c r="W19" s="157"/>
      <c r="X19" s="158"/>
      <c r="Y19" s="133"/>
    </row>
    <row r="20" spans="1:25" ht="16.05" customHeight="1" thickTop="1" thickBot="1" x14ac:dyDescent="0.35">
      <c r="A20" s="150"/>
      <c r="B20" s="487"/>
      <c r="C20" s="125" t="s">
        <v>96</v>
      </c>
      <c r="D20" s="126">
        <v>44386</v>
      </c>
      <c r="E20" s="127">
        <v>0.35416666666666669</v>
      </c>
      <c r="F20" s="127">
        <v>0.51041666666666663</v>
      </c>
      <c r="G20" s="132">
        <f t="shared" si="0"/>
        <v>3.7499999999999987</v>
      </c>
      <c r="H20" s="127">
        <v>0.54166666666666663</v>
      </c>
      <c r="I20" s="127">
        <v>0.69791666666666663</v>
      </c>
      <c r="J20" s="132">
        <f t="shared" si="3"/>
        <v>3.75</v>
      </c>
      <c r="K20" s="115">
        <v>8</v>
      </c>
      <c r="L20" s="147">
        <f t="shared" si="4"/>
        <v>7.4999999999999973</v>
      </c>
      <c r="M20" s="479"/>
      <c r="N20" s="193">
        <f t="shared" si="2"/>
        <v>-2.6645352591003757E-15</v>
      </c>
      <c r="O20" s="184" t="s">
        <v>242</v>
      </c>
      <c r="P20" s="157">
        <v>7.5</v>
      </c>
      <c r="S20" s="160"/>
      <c r="T20" s="157"/>
      <c r="U20" s="157"/>
      <c r="V20" s="180"/>
      <c r="W20" s="157"/>
      <c r="X20" s="158"/>
      <c r="Y20" s="133"/>
    </row>
    <row r="21" spans="1:25" ht="1.35" customHeight="1" thickTop="1" thickBot="1" x14ac:dyDescent="0.35">
      <c r="A21" s="150"/>
      <c r="B21" s="185"/>
      <c r="C21" s="143" t="s">
        <v>97</v>
      </c>
      <c r="D21" s="126">
        <v>44387</v>
      </c>
      <c r="E21" s="145"/>
      <c r="F21" s="145"/>
      <c r="G21" s="132">
        <f t="shared" si="0"/>
        <v>0</v>
      </c>
      <c r="H21" s="145"/>
      <c r="I21" s="145"/>
      <c r="J21" s="132">
        <f t="shared" si="3"/>
        <v>0</v>
      </c>
      <c r="K21" s="146">
        <v>8</v>
      </c>
      <c r="L21" s="148">
        <f>K21</f>
        <v>8</v>
      </c>
      <c r="M21" s="479"/>
      <c r="N21" s="193">
        <f t="shared" si="2"/>
        <v>-2.6645352591003757E-15</v>
      </c>
      <c r="O21" s="161"/>
      <c r="P21" s="162"/>
      <c r="Q21" s="162"/>
      <c r="R21" s="162"/>
      <c r="S21" s="162"/>
      <c r="T21" s="162"/>
      <c r="U21" s="162"/>
      <c r="V21" s="181"/>
      <c r="W21" s="162"/>
      <c r="X21" s="164"/>
      <c r="Y21" s="133"/>
    </row>
    <row r="22" spans="1:25" ht="1.35" customHeight="1" thickTop="1" thickBot="1" x14ac:dyDescent="0.35">
      <c r="A22" s="150"/>
      <c r="B22" s="185"/>
      <c r="C22" s="143" t="s">
        <v>98</v>
      </c>
      <c r="D22" s="126">
        <v>44388</v>
      </c>
      <c r="E22" s="145"/>
      <c r="F22" s="145"/>
      <c r="G22" s="132">
        <f t="shared" si="0"/>
        <v>0</v>
      </c>
      <c r="H22" s="145"/>
      <c r="I22" s="145"/>
      <c r="J22" s="132">
        <f t="shared" si="3"/>
        <v>0</v>
      </c>
      <c r="K22" s="146">
        <v>8</v>
      </c>
      <c r="L22" s="148">
        <f>K22</f>
        <v>8</v>
      </c>
      <c r="M22" s="479"/>
      <c r="N22" s="193">
        <f t="shared" si="2"/>
        <v>-2.6645352591003757E-15</v>
      </c>
      <c r="O22" s="161"/>
      <c r="P22" s="162"/>
      <c r="Q22" s="162"/>
      <c r="R22" s="162"/>
      <c r="S22" s="163"/>
      <c r="T22" s="162"/>
      <c r="U22" s="162"/>
      <c r="V22" s="181"/>
      <c r="W22" s="162"/>
      <c r="X22" s="164"/>
      <c r="Y22" s="133"/>
    </row>
    <row r="23" spans="1:25" ht="16.05" customHeight="1" thickTop="1" thickBot="1" x14ac:dyDescent="0.35">
      <c r="A23" s="150"/>
      <c r="B23" s="487">
        <f>_xlfn.ISOWEEKNUM(D23)</f>
        <v>28</v>
      </c>
      <c r="C23" s="125" t="s">
        <v>99</v>
      </c>
      <c r="D23" s="126">
        <v>44389</v>
      </c>
      <c r="E23" s="127">
        <v>0.32291666666666669</v>
      </c>
      <c r="F23" s="127">
        <v>0.51041666666666663</v>
      </c>
      <c r="G23" s="132">
        <f t="shared" si="0"/>
        <v>4.4999999999999982</v>
      </c>
      <c r="H23" s="127">
        <v>0.54166666666666663</v>
      </c>
      <c r="I23" s="127">
        <v>0.75</v>
      </c>
      <c r="J23" s="132">
        <f t="shared" si="3"/>
        <v>5.0000000000000009</v>
      </c>
      <c r="K23" s="115">
        <v>8.5</v>
      </c>
      <c r="L23" s="147">
        <f t="shared" si="4"/>
        <v>9.5</v>
      </c>
      <c r="M23" s="479"/>
      <c r="N23" s="193">
        <f t="shared" si="2"/>
        <v>0.99999999999999734</v>
      </c>
      <c r="O23" s="159" t="s">
        <v>243</v>
      </c>
      <c r="P23" s="157">
        <v>5</v>
      </c>
      <c r="Q23" s="157" t="s">
        <v>5</v>
      </c>
      <c r="R23" s="157">
        <v>4.5</v>
      </c>
      <c r="S23" s="160"/>
      <c r="T23" s="157"/>
      <c r="U23" s="160"/>
      <c r="V23" s="180"/>
      <c r="W23" s="157"/>
      <c r="X23" s="158"/>
      <c r="Y23" s="133"/>
    </row>
    <row r="24" spans="1:25" ht="16.05" customHeight="1" thickTop="1" thickBot="1" x14ac:dyDescent="0.35">
      <c r="A24" s="150"/>
      <c r="B24" s="487"/>
      <c r="C24" s="125" t="s">
        <v>93</v>
      </c>
      <c r="D24" s="126">
        <v>44390</v>
      </c>
      <c r="E24" s="127">
        <v>0.34375</v>
      </c>
      <c r="F24" s="127">
        <v>0.51041666666666663</v>
      </c>
      <c r="G24" s="132">
        <f t="shared" si="0"/>
        <v>3.9999999999999991</v>
      </c>
      <c r="H24" s="127">
        <v>0.54166666666666663</v>
      </c>
      <c r="I24" s="127">
        <v>0.75</v>
      </c>
      <c r="J24" s="132">
        <f t="shared" si="3"/>
        <v>5.0000000000000009</v>
      </c>
      <c r="K24" s="115">
        <v>8.5</v>
      </c>
      <c r="L24" s="147">
        <f t="shared" si="4"/>
        <v>9</v>
      </c>
      <c r="M24" s="479"/>
      <c r="N24" s="193">
        <f t="shared" si="2"/>
        <v>1.4999999999999973</v>
      </c>
      <c r="O24" s="159" t="s">
        <v>243</v>
      </c>
      <c r="P24" s="157">
        <v>4</v>
      </c>
      <c r="Q24" s="157" t="s">
        <v>5</v>
      </c>
      <c r="R24" s="157">
        <v>5</v>
      </c>
      <c r="S24" s="157"/>
      <c r="T24" s="157"/>
      <c r="U24" s="157"/>
      <c r="V24" s="180"/>
      <c r="W24" s="157"/>
      <c r="X24" s="158"/>
      <c r="Y24" s="133"/>
    </row>
    <row r="25" spans="1:25" ht="16.05" customHeight="1" thickTop="1" thickBot="1" x14ac:dyDescent="0.35">
      <c r="A25" s="150"/>
      <c r="B25" s="487"/>
      <c r="C25" s="125" t="s">
        <v>94</v>
      </c>
      <c r="D25" s="126">
        <v>44391</v>
      </c>
      <c r="E25" s="127">
        <v>0.35416666666666669</v>
      </c>
      <c r="F25" s="127">
        <v>0.51041666666666663</v>
      </c>
      <c r="G25" s="132">
        <f t="shared" si="0"/>
        <v>3.7499999999999987</v>
      </c>
      <c r="H25" s="127">
        <v>0.54166666666666663</v>
      </c>
      <c r="I25" s="127">
        <v>0.71875</v>
      </c>
      <c r="J25" s="132">
        <f t="shared" si="3"/>
        <v>4.2500000000000009</v>
      </c>
      <c r="K25" s="115">
        <v>8.5</v>
      </c>
      <c r="L25" s="147">
        <f t="shared" si="4"/>
        <v>8</v>
      </c>
      <c r="M25" s="479"/>
      <c r="N25" s="193">
        <f t="shared" si="2"/>
        <v>0.99999999999999734</v>
      </c>
      <c r="O25" s="159" t="s">
        <v>245</v>
      </c>
      <c r="P25" s="157">
        <v>4</v>
      </c>
      <c r="Q25" s="157" t="s">
        <v>5</v>
      </c>
      <c r="R25" s="157">
        <v>4</v>
      </c>
      <c r="S25" s="157" t="s">
        <v>246</v>
      </c>
      <c r="T25" s="157"/>
      <c r="U25" s="157"/>
      <c r="V25" s="180"/>
      <c r="W25" s="157"/>
      <c r="X25" s="158"/>
      <c r="Y25" s="133"/>
    </row>
    <row r="26" spans="1:25" ht="16.05" customHeight="1" thickTop="1" thickBot="1" x14ac:dyDescent="0.35">
      <c r="A26" s="150"/>
      <c r="B26" s="487"/>
      <c r="C26" s="125" t="s">
        <v>95</v>
      </c>
      <c r="D26" s="126">
        <v>44392</v>
      </c>
      <c r="E26" s="127">
        <v>0.35416666666666669</v>
      </c>
      <c r="F26" s="127">
        <v>0.51041666666666663</v>
      </c>
      <c r="G26" s="132">
        <f t="shared" si="0"/>
        <v>3.7499999999999987</v>
      </c>
      <c r="H26" s="127">
        <v>0.54166666666666663</v>
      </c>
      <c r="I26" s="127">
        <v>0.73958333333333337</v>
      </c>
      <c r="J26" s="132">
        <f t="shared" si="3"/>
        <v>4.7500000000000018</v>
      </c>
      <c r="K26" s="115">
        <v>8.5</v>
      </c>
      <c r="L26" s="147">
        <f t="shared" si="4"/>
        <v>8.5</v>
      </c>
      <c r="M26" s="479"/>
      <c r="N26" s="193">
        <f t="shared" si="2"/>
        <v>0.99999999999999734</v>
      </c>
      <c r="O26" s="159" t="s">
        <v>245</v>
      </c>
      <c r="P26" s="157">
        <v>3.75</v>
      </c>
      <c r="Q26" s="157" t="s">
        <v>241</v>
      </c>
      <c r="R26" s="157">
        <v>4.75</v>
      </c>
      <c r="S26" s="157"/>
      <c r="T26" s="157"/>
      <c r="U26" s="157"/>
      <c r="V26" s="180"/>
      <c r="W26" s="157"/>
      <c r="X26" s="158"/>
      <c r="Y26" s="133"/>
    </row>
    <row r="27" spans="1:25" ht="16.05" customHeight="1" thickTop="1" thickBot="1" x14ac:dyDescent="0.35">
      <c r="A27" s="150"/>
      <c r="B27" s="487"/>
      <c r="C27" s="125" t="s">
        <v>96</v>
      </c>
      <c r="D27" s="126">
        <v>44393</v>
      </c>
      <c r="E27" s="127">
        <v>0.35416666666666669</v>
      </c>
      <c r="F27" s="127">
        <v>0.51041666666666663</v>
      </c>
      <c r="G27" s="132">
        <f t="shared" si="0"/>
        <v>3.7499999999999987</v>
      </c>
      <c r="H27" s="127">
        <v>0.54166666666666663</v>
      </c>
      <c r="I27" s="127">
        <v>0.67708333333333337</v>
      </c>
      <c r="J27" s="132">
        <f t="shared" si="3"/>
        <v>3.2500000000000018</v>
      </c>
      <c r="K27" s="115">
        <v>8</v>
      </c>
      <c r="L27" s="147">
        <f t="shared" si="4"/>
        <v>6.9999999999999991</v>
      </c>
      <c r="M27" s="479"/>
      <c r="N27" s="193">
        <f t="shared" si="2"/>
        <v>-3.5527136788005009E-15</v>
      </c>
      <c r="O27" s="159" t="s">
        <v>245</v>
      </c>
      <c r="P27" s="157">
        <v>2.5</v>
      </c>
      <c r="Q27" s="157" t="s">
        <v>248</v>
      </c>
      <c r="R27" s="157">
        <v>4.5</v>
      </c>
      <c r="S27" s="157" t="s">
        <v>247</v>
      </c>
      <c r="T27" s="157"/>
      <c r="U27" s="157"/>
      <c r="V27" s="180"/>
      <c r="W27" s="157"/>
      <c r="X27" s="158"/>
      <c r="Y27" s="133"/>
    </row>
    <row r="28" spans="1:25" ht="1.35" customHeight="1" thickTop="1" thickBot="1" x14ac:dyDescent="0.35">
      <c r="A28" s="150"/>
      <c r="B28" s="185"/>
      <c r="C28" s="143" t="s">
        <v>97</v>
      </c>
      <c r="D28" s="126">
        <v>44394</v>
      </c>
      <c r="E28" s="145"/>
      <c r="F28" s="145"/>
      <c r="G28" s="132">
        <f t="shared" si="0"/>
        <v>0</v>
      </c>
      <c r="H28" s="145"/>
      <c r="I28" s="145"/>
      <c r="J28" s="132">
        <f t="shared" si="3"/>
        <v>0</v>
      </c>
      <c r="K28" s="146">
        <v>8</v>
      </c>
      <c r="L28" s="148">
        <f>K28</f>
        <v>8</v>
      </c>
      <c r="M28" s="479"/>
      <c r="N28" s="193">
        <f t="shared" si="2"/>
        <v>-3.5527136788005009E-15</v>
      </c>
      <c r="O28" s="161"/>
      <c r="P28" s="162"/>
      <c r="Q28" s="162"/>
      <c r="R28" s="162"/>
      <c r="S28" s="162"/>
      <c r="T28" s="162"/>
      <c r="U28" s="162"/>
      <c r="V28" s="181"/>
      <c r="W28" s="162"/>
      <c r="X28" s="164"/>
      <c r="Y28" s="133"/>
    </row>
    <row r="29" spans="1:25" ht="1.35" customHeight="1" thickTop="1" thickBot="1" x14ac:dyDescent="0.35">
      <c r="A29" s="150"/>
      <c r="B29" s="185"/>
      <c r="C29" s="143" t="s">
        <v>98</v>
      </c>
      <c r="D29" s="126">
        <v>44395</v>
      </c>
      <c r="E29" s="145"/>
      <c r="F29" s="145"/>
      <c r="G29" s="132">
        <f t="shared" si="0"/>
        <v>0</v>
      </c>
      <c r="H29" s="145"/>
      <c r="I29" s="145"/>
      <c r="J29" s="132">
        <f t="shared" si="3"/>
        <v>0</v>
      </c>
      <c r="K29" s="146">
        <v>8</v>
      </c>
      <c r="L29" s="148">
        <f>K29</f>
        <v>8</v>
      </c>
      <c r="M29" s="479"/>
      <c r="N29" s="193">
        <f t="shared" si="2"/>
        <v>-3.5527136788005009E-15</v>
      </c>
      <c r="O29" s="161"/>
      <c r="P29" s="162"/>
      <c r="Q29" s="162"/>
      <c r="R29" s="162"/>
      <c r="S29" s="162"/>
      <c r="T29" s="162"/>
      <c r="U29" s="162"/>
      <c r="V29" s="181"/>
      <c r="W29" s="162"/>
      <c r="X29" s="164"/>
      <c r="Y29" s="133"/>
    </row>
    <row r="30" spans="1:25" ht="16.05" customHeight="1" thickTop="1" thickBot="1" x14ac:dyDescent="0.35">
      <c r="A30" s="150"/>
      <c r="B30" s="487">
        <f>_xlfn.ISOWEEKNUM(D30)</f>
        <v>29</v>
      </c>
      <c r="C30" s="125" t="s">
        <v>99</v>
      </c>
      <c r="D30" s="126">
        <v>44396</v>
      </c>
      <c r="E30" s="127">
        <v>0.33333333333333331</v>
      </c>
      <c r="F30" s="127">
        <v>0.51041666666666663</v>
      </c>
      <c r="G30" s="132">
        <f t="shared" si="0"/>
        <v>4.25</v>
      </c>
      <c r="H30" s="127">
        <v>0.54166666666666663</v>
      </c>
      <c r="I30" s="127">
        <v>0.72916666666666663</v>
      </c>
      <c r="J30" s="132">
        <f t="shared" si="3"/>
        <v>4.5</v>
      </c>
      <c r="K30" s="115">
        <v>8.5</v>
      </c>
      <c r="L30" s="147">
        <f t="shared" si="4"/>
        <v>8.75</v>
      </c>
      <c r="M30" s="479"/>
      <c r="N30" s="193">
        <f t="shared" si="2"/>
        <v>0.24999999999999645</v>
      </c>
      <c r="O30" s="159" t="s">
        <v>248</v>
      </c>
      <c r="P30" s="157">
        <v>6</v>
      </c>
      <c r="Q30" s="157" t="s">
        <v>5</v>
      </c>
      <c r="R30" s="157">
        <v>2.75</v>
      </c>
      <c r="S30" s="157"/>
      <c r="T30" s="157"/>
      <c r="U30" s="157"/>
      <c r="V30" s="180"/>
      <c r="W30" s="157"/>
      <c r="X30" s="158"/>
      <c r="Y30" s="133"/>
    </row>
    <row r="31" spans="1:25" ht="16.05" customHeight="1" thickTop="1" thickBot="1" x14ac:dyDescent="0.35">
      <c r="A31" s="150"/>
      <c r="B31" s="487"/>
      <c r="C31" s="125" t="s">
        <v>93</v>
      </c>
      <c r="D31" s="126">
        <v>44397</v>
      </c>
      <c r="E31" s="127">
        <v>0.35416666666666669</v>
      </c>
      <c r="F31" s="127">
        <v>0.52083333333333337</v>
      </c>
      <c r="G31" s="132">
        <f t="shared" si="0"/>
        <v>4</v>
      </c>
      <c r="H31" s="127">
        <v>0.55208333333333337</v>
      </c>
      <c r="I31" s="127">
        <v>0.73958333333333337</v>
      </c>
      <c r="J31" s="132">
        <f t="shared" si="3"/>
        <v>4.5</v>
      </c>
      <c r="K31" s="115">
        <v>8.5</v>
      </c>
      <c r="L31" s="147">
        <f t="shared" si="4"/>
        <v>8.5</v>
      </c>
      <c r="M31" s="479"/>
      <c r="N31" s="193">
        <f t="shared" si="2"/>
        <v>0.24999999999999645</v>
      </c>
      <c r="O31" s="159" t="s">
        <v>248</v>
      </c>
      <c r="P31" s="157">
        <v>7</v>
      </c>
      <c r="Q31" s="157" t="s">
        <v>5</v>
      </c>
      <c r="R31" s="157">
        <v>1.5</v>
      </c>
      <c r="S31" s="157"/>
      <c r="T31" s="157"/>
      <c r="U31" s="157"/>
      <c r="V31" s="180"/>
      <c r="W31" s="157"/>
      <c r="X31" s="158"/>
      <c r="Y31" s="121"/>
    </row>
    <row r="32" spans="1:25" ht="16.05" customHeight="1" thickTop="1" thickBot="1" x14ac:dyDescent="0.35">
      <c r="A32" s="150"/>
      <c r="B32" s="487"/>
      <c r="C32" s="125" t="s">
        <v>94</v>
      </c>
      <c r="D32" s="126">
        <v>44398</v>
      </c>
      <c r="E32" s="127">
        <v>0.35416666666666669</v>
      </c>
      <c r="F32" s="127">
        <v>0.51041666666666663</v>
      </c>
      <c r="G32" s="132">
        <f t="shared" si="0"/>
        <v>3.7499999999999987</v>
      </c>
      <c r="H32" s="127">
        <v>0.54166666666666663</v>
      </c>
      <c r="I32" s="127">
        <v>0.75</v>
      </c>
      <c r="J32" s="132">
        <f t="shared" si="3"/>
        <v>5.0000000000000009</v>
      </c>
      <c r="K32" s="115">
        <v>8.5</v>
      </c>
      <c r="L32" s="147">
        <f t="shared" si="4"/>
        <v>8.75</v>
      </c>
      <c r="M32" s="479"/>
      <c r="N32" s="193">
        <f t="shared" si="2"/>
        <v>0.49999999999999645</v>
      </c>
      <c r="O32" s="159" t="s">
        <v>5</v>
      </c>
      <c r="P32" s="157">
        <v>8.75</v>
      </c>
      <c r="Q32" s="157"/>
      <c r="R32" s="157"/>
      <c r="S32" s="157"/>
      <c r="T32" s="157"/>
      <c r="U32" s="157"/>
      <c r="V32" s="180"/>
      <c r="W32" s="157"/>
      <c r="X32" s="158"/>
      <c r="Y32" s="121"/>
    </row>
    <row r="33" spans="1:25" ht="16.05" customHeight="1" thickTop="1" thickBot="1" x14ac:dyDescent="0.35">
      <c r="A33" s="150"/>
      <c r="B33" s="487"/>
      <c r="C33" s="125" t="s">
        <v>95</v>
      </c>
      <c r="D33" s="126">
        <v>44399</v>
      </c>
      <c r="E33" s="127">
        <v>0.35416666666666669</v>
      </c>
      <c r="F33" s="127">
        <v>0.51041666666666663</v>
      </c>
      <c r="G33" s="132">
        <f t="shared" si="0"/>
        <v>3.7499999999999987</v>
      </c>
      <c r="H33" s="127">
        <v>0.54166666666666663</v>
      </c>
      <c r="I33" s="127">
        <v>0.73958333333333337</v>
      </c>
      <c r="J33" s="132">
        <f t="shared" si="3"/>
        <v>4.7500000000000018</v>
      </c>
      <c r="K33" s="115">
        <v>8.5</v>
      </c>
      <c r="L33" s="147">
        <f t="shared" si="4"/>
        <v>8.5</v>
      </c>
      <c r="M33" s="479"/>
      <c r="N33" s="193">
        <f t="shared" si="2"/>
        <v>0.49999999999999645</v>
      </c>
      <c r="O33" s="159" t="s">
        <v>5</v>
      </c>
      <c r="P33" s="157">
        <v>8.5</v>
      </c>
      <c r="Q33" s="157"/>
      <c r="R33" s="157"/>
      <c r="S33" s="157"/>
      <c r="T33" s="157"/>
      <c r="U33" s="157"/>
      <c r="V33" s="180"/>
      <c r="W33" s="157"/>
      <c r="X33" s="158"/>
      <c r="Y33" s="121"/>
    </row>
    <row r="34" spans="1:25" ht="16.05" customHeight="1" thickTop="1" thickBot="1" x14ac:dyDescent="0.35">
      <c r="A34" s="150"/>
      <c r="B34" s="487"/>
      <c r="C34" s="125" t="s">
        <v>96</v>
      </c>
      <c r="D34" s="126">
        <v>44400</v>
      </c>
      <c r="E34" s="127">
        <v>0.35416666666666669</v>
      </c>
      <c r="F34" s="127">
        <v>0.51041666666666663</v>
      </c>
      <c r="G34" s="132">
        <f t="shared" si="0"/>
        <v>3.7499999999999987</v>
      </c>
      <c r="H34" s="127">
        <v>0.55208333333333337</v>
      </c>
      <c r="I34" s="127">
        <v>0.70833333333333337</v>
      </c>
      <c r="J34" s="132">
        <f t="shared" si="3"/>
        <v>3.75</v>
      </c>
      <c r="K34" s="115">
        <v>8</v>
      </c>
      <c r="L34" s="147">
        <f t="shared" si="4"/>
        <v>7.4999999999999973</v>
      </c>
      <c r="M34" s="479"/>
      <c r="N34" s="193">
        <f t="shared" si="2"/>
        <v>-6.2172489379008766E-15</v>
      </c>
      <c r="O34" s="159" t="s">
        <v>5</v>
      </c>
      <c r="P34" s="157">
        <v>7.5</v>
      </c>
      <c r="Q34" s="157"/>
      <c r="R34" s="157"/>
      <c r="S34" s="157"/>
      <c r="T34" s="157"/>
      <c r="U34" s="157"/>
      <c r="V34" s="180"/>
      <c r="W34" s="157"/>
      <c r="X34" s="158"/>
      <c r="Y34" s="121"/>
    </row>
    <row r="35" spans="1:25" ht="1.35" customHeight="1" thickTop="1" thickBot="1" x14ac:dyDescent="0.35">
      <c r="A35" s="150"/>
      <c r="B35" s="185"/>
      <c r="C35" s="143" t="s">
        <v>97</v>
      </c>
      <c r="D35" s="126">
        <v>44401</v>
      </c>
      <c r="E35" s="145"/>
      <c r="F35" s="145"/>
      <c r="G35" s="132">
        <f t="shared" si="0"/>
        <v>0</v>
      </c>
      <c r="H35" s="145"/>
      <c r="I35" s="145"/>
      <c r="J35" s="132">
        <f t="shared" si="3"/>
        <v>0</v>
      </c>
      <c r="K35" s="146">
        <v>8</v>
      </c>
      <c r="L35" s="148">
        <f>K35</f>
        <v>8</v>
      </c>
      <c r="M35" s="479"/>
      <c r="N35" s="193">
        <f t="shared" si="2"/>
        <v>-6.2172489379008766E-15</v>
      </c>
      <c r="O35" s="161"/>
      <c r="P35" s="162"/>
      <c r="Q35" s="162"/>
      <c r="R35" s="162"/>
      <c r="S35" s="162"/>
      <c r="T35" s="162"/>
      <c r="U35" s="162"/>
      <c r="V35" s="181"/>
      <c r="W35" s="162"/>
      <c r="X35" s="164"/>
      <c r="Y35" s="121"/>
    </row>
    <row r="36" spans="1:25" ht="1.35" customHeight="1" thickTop="1" thickBot="1" x14ac:dyDescent="0.35">
      <c r="A36" s="150"/>
      <c r="B36" s="185"/>
      <c r="C36" s="143" t="s">
        <v>98</v>
      </c>
      <c r="D36" s="126">
        <v>44402</v>
      </c>
      <c r="E36" s="145"/>
      <c r="F36" s="145"/>
      <c r="G36" s="132">
        <f t="shared" si="0"/>
        <v>0</v>
      </c>
      <c r="H36" s="145"/>
      <c r="I36" s="145"/>
      <c r="J36" s="132">
        <f t="shared" si="3"/>
        <v>0</v>
      </c>
      <c r="K36" s="146">
        <v>8</v>
      </c>
      <c r="L36" s="148">
        <f>K36</f>
        <v>8</v>
      </c>
      <c r="M36" s="479"/>
      <c r="N36" s="193">
        <f t="shared" si="2"/>
        <v>-6.2172489379008766E-15</v>
      </c>
      <c r="O36" s="161"/>
      <c r="P36" s="162"/>
      <c r="Q36" s="162"/>
      <c r="R36" s="162"/>
      <c r="S36" s="162"/>
      <c r="T36" s="162"/>
      <c r="U36" s="162"/>
      <c r="V36" s="181"/>
      <c r="W36" s="162"/>
      <c r="X36" s="164"/>
      <c r="Y36" s="121"/>
    </row>
    <row r="37" spans="1:25" ht="16.05" customHeight="1" thickTop="1" thickBot="1" x14ac:dyDescent="0.35">
      <c r="A37" s="150"/>
      <c r="B37" s="487">
        <f>_xlfn.ISOWEEKNUM(D37)</f>
        <v>30</v>
      </c>
      <c r="C37" s="125" t="s">
        <v>99</v>
      </c>
      <c r="D37" s="126">
        <v>44403</v>
      </c>
      <c r="E37" s="196"/>
      <c r="F37" s="196"/>
      <c r="G37" s="197">
        <f t="shared" si="0"/>
        <v>0</v>
      </c>
      <c r="H37" s="196"/>
      <c r="I37" s="196"/>
      <c r="J37" s="197">
        <f t="shared" si="3"/>
        <v>0</v>
      </c>
      <c r="K37" s="198">
        <v>8.5</v>
      </c>
      <c r="L37" s="199">
        <v>8.5</v>
      </c>
      <c r="M37" s="479"/>
      <c r="N37" s="193">
        <f t="shared" si="2"/>
        <v>-6.2172489379008766E-15</v>
      </c>
      <c r="O37" s="159" t="s">
        <v>103</v>
      </c>
      <c r="P37" s="157">
        <v>8.5</v>
      </c>
      <c r="Q37" s="157"/>
      <c r="R37" s="157"/>
      <c r="S37" s="157"/>
      <c r="T37" s="157"/>
      <c r="U37" s="157"/>
      <c r="V37" s="180"/>
      <c r="W37" s="157"/>
      <c r="X37" s="158"/>
      <c r="Y37" s="121"/>
    </row>
    <row r="38" spans="1:25" ht="16.05" customHeight="1" thickTop="1" thickBot="1" x14ac:dyDescent="0.35">
      <c r="A38" s="150"/>
      <c r="B38" s="487"/>
      <c r="C38" s="125" t="s">
        <v>93</v>
      </c>
      <c r="D38" s="126">
        <v>44404</v>
      </c>
      <c r="E38" s="196"/>
      <c r="F38" s="196"/>
      <c r="G38" s="197">
        <f t="shared" si="0"/>
        <v>0</v>
      </c>
      <c r="H38" s="196"/>
      <c r="I38" s="196"/>
      <c r="J38" s="197">
        <f t="shared" si="3"/>
        <v>0</v>
      </c>
      <c r="K38" s="198">
        <v>8.5</v>
      </c>
      <c r="L38" s="199">
        <v>8.5</v>
      </c>
      <c r="M38" s="479"/>
      <c r="N38" s="193">
        <f t="shared" si="2"/>
        <v>-6.2172489379008766E-15</v>
      </c>
      <c r="O38" s="159" t="s">
        <v>103</v>
      </c>
      <c r="P38" s="157">
        <v>8.5</v>
      </c>
      <c r="Q38" s="157"/>
      <c r="R38" s="157"/>
      <c r="S38" s="157"/>
      <c r="T38" s="157"/>
      <c r="U38" s="157"/>
      <c r="V38" s="180"/>
      <c r="W38" s="157"/>
      <c r="X38" s="158"/>
      <c r="Y38" s="121"/>
    </row>
    <row r="39" spans="1:25" ht="16.350000000000001" customHeight="1" thickTop="1" thickBot="1" x14ac:dyDescent="0.35">
      <c r="A39" s="150"/>
      <c r="B39" s="487"/>
      <c r="C39" s="125" t="s">
        <v>94</v>
      </c>
      <c r="D39" s="126">
        <v>44405</v>
      </c>
      <c r="E39" s="201"/>
      <c r="F39" s="201"/>
      <c r="G39" s="202">
        <f t="shared" si="0"/>
        <v>0</v>
      </c>
      <c r="H39" s="201"/>
      <c r="I39" s="201"/>
      <c r="J39" s="202">
        <f t="shared" si="3"/>
        <v>0</v>
      </c>
      <c r="K39" s="203">
        <v>8.5</v>
      </c>
      <c r="L39" s="199">
        <v>8.5</v>
      </c>
      <c r="M39" s="480"/>
      <c r="N39" s="193">
        <f t="shared" si="2"/>
        <v>-6.2172489379008766E-15</v>
      </c>
      <c r="O39" s="166" t="s">
        <v>103</v>
      </c>
      <c r="P39" s="167">
        <v>8.5</v>
      </c>
      <c r="Q39" s="167"/>
      <c r="R39" s="167"/>
      <c r="S39" s="167"/>
      <c r="T39" s="167"/>
      <c r="U39" s="167"/>
      <c r="V39" s="182"/>
      <c r="W39" s="167"/>
      <c r="X39" s="168"/>
      <c r="Y39" s="121"/>
    </row>
    <row r="40" spans="1:25" ht="15" thickTop="1" thickBot="1" x14ac:dyDescent="0.3">
      <c r="B40" s="134"/>
      <c r="C40" s="135"/>
      <c r="D40" s="136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86"/>
      <c r="U40" s="135"/>
      <c r="V40" s="135"/>
      <c r="W40" s="135"/>
      <c r="X40" s="135"/>
      <c r="Y40" s="137"/>
    </row>
    <row r="41" spans="1:25" ht="15" thickTop="1" thickBot="1" x14ac:dyDescent="0.3">
      <c r="C41" s="138"/>
      <c r="L41" s="176">
        <f>L9+L10+L11+L12+L13+L16+L17+L18+L19+L20+L23+L24+L25+L26+L27+L30+L31+L32+L33+L34+L37+L38+L39</f>
        <v>184.5</v>
      </c>
      <c r="P41" s="139"/>
      <c r="Q41" s="140"/>
    </row>
    <row r="42" spans="1:25" ht="16.8" thickTop="1" thickBot="1" x14ac:dyDescent="0.35">
      <c r="C42" s="491" t="s">
        <v>225</v>
      </c>
      <c r="D42" s="492"/>
      <c r="E42" s="499">
        <f>SUM(E43:E52)</f>
        <v>184.5</v>
      </c>
      <c r="F42" s="500"/>
      <c r="Q42" s="138"/>
    </row>
    <row r="43" spans="1:25" ht="14.4" thickTop="1" x14ac:dyDescent="0.25">
      <c r="C43" s="489" t="s">
        <v>227</v>
      </c>
      <c r="D43" s="490"/>
      <c r="E43" s="501">
        <f>SUMIF(O8:O38,"Clair*",P8:P38)+SUMIF(Q8:Q38,"Clair*",R8:R38)+SUMIF(S8:S38,"Clair*",T8:T38)</f>
        <v>58.5</v>
      </c>
      <c r="F43" s="502"/>
      <c r="P43" s="139"/>
      <c r="S43" s="141"/>
    </row>
    <row r="44" spans="1:25" x14ac:dyDescent="0.25">
      <c r="C44" s="495" t="s">
        <v>103</v>
      </c>
      <c r="D44" s="496"/>
      <c r="E44" s="509">
        <f>SUMIF(O10:O40,"=Vac*",P10:P40)+SUMIF(Q10:Q40,"=Vac*",R10:R40)+SUMIF(S10:S40,"=Vac*",T10:T40)</f>
        <v>58.5</v>
      </c>
      <c r="F44" s="510"/>
      <c r="P44" s="139"/>
      <c r="Q44" s="140"/>
    </row>
    <row r="45" spans="1:25" x14ac:dyDescent="0.25">
      <c r="C45" s="493" t="s">
        <v>226</v>
      </c>
      <c r="D45" s="494"/>
      <c r="E45" s="505">
        <f>SUMIF(O9:O39,"=3607B65",P9:P39)+SUMIF(Q9:Q39,"=3607B65",R9:R39)+SUMIF(S9:S39,"=3607B65",T9:T39)+SUMIF(U9:U39,"=3607B65",V9:V39)</f>
        <v>22.25</v>
      </c>
      <c r="F45" s="506"/>
      <c r="Q45" s="138"/>
    </row>
    <row r="46" spans="1:25" x14ac:dyDescent="0.25">
      <c r="C46" s="493" t="s">
        <v>245</v>
      </c>
      <c r="D46" s="494"/>
      <c r="E46" s="505">
        <f>SUMIF(O6:O36,"=ONE ROOF",P6:P36)+SUMIF(Q6:Q36,"=ONE ROOF",R6:R36)+SUMIF(S6:S36,"=ONE ROOF",T6:T36)+SUMIF(U6:U36,"=ONE ROOF",V6:V36)</f>
        <v>10.25</v>
      </c>
      <c r="F46" s="506"/>
    </row>
    <row r="47" spans="1:25" x14ac:dyDescent="0.25">
      <c r="C47" s="493" t="s">
        <v>237</v>
      </c>
      <c r="D47" s="494"/>
      <c r="E47" s="505">
        <f>SUMIF(O9:O39,"12127A01",P9:P39)+SUMIF(Q9:Q39,"12127A01",R9:R39)+SUMIF(S9:S39,"12127A01",T9:T39)</f>
        <v>9</v>
      </c>
      <c r="F47" s="506"/>
    </row>
    <row r="48" spans="1:25" x14ac:dyDescent="0.25">
      <c r="C48" s="493" t="s">
        <v>112</v>
      </c>
      <c r="D48" s="494"/>
      <c r="E48" s="505">
        <f>SUMIF(O11:O41,"12067A02",P11:P41)+SUMIF(Q11:Q41,"12067A02",R11:R41)+SUMIF(S11:S41,"12067A02",T11:T41)</f>
        <v>8.5</v>
      </c>
      <c r="F48" s="506"/>
    </row>
    <row r="49" spans="3:6" x14ac:dyDescent="0.25">
      <c r="C49" s="493" t="s">
        <v>249</v>
      </c>
      <c r="D49" s="494"/>
      <c r="E49" s="505">
        <f>SUMIF(O10:O40,"Data*",P10:P40)+SUMIF(Q10:Q40,"Data*",R10:R40)+SUMIF(S10:S40,"Data*",T10:T40)</f>
        <v>17.5</v>
      </c>
      <c r="F49" s="506"/>
    </row>
    <row r="50" spans="3:6" x14ac:dyDescent="0.25">
      <c r="C50" s="493" t="s">
        <v>250</v>
      </c>
      <c r="D50" s="494"/>
      <c r="E50" s="507">
        <f>SUMIF(O9:O39,"=Dnata",P9:P39)+SUMIF(Q9:Q39,"=Dnata",R9:R39)+SUMIF(S9:S39,"=Dnata",T9:T39)</f>
        <v>0</v>
      </c>
      <c r="F50" s="508"/>
    </row>
    <row r="51" spans="3:6" x14ac:dyDescent="0.25">
      <c r="C51" s="493" t="s">
        <v>228</v>
      </c>
      <c r="D51" s="494"/>
      <c r="E51" s="505"/>
      <c r="F51" s="506"/>
    </row>
    <row r="52" spans="3:6" x14ac:dyDescent="0.25">
      <c r="C52" s="493" t="s">
        <v>72</v>
      </c>
      <c r="D52" s="494"/>
      <c r="E52" s="505">
        <f>SUMIF(O9:O39,"=Formation",P9:P39)+SUMIF(Q9:Q39,"=Formation",R9:R39)+SUMIF(S9:S39,"=Formation",T9:T39)+SUMIF(O9:O39,"=CFPC",P9:P39)+SUMIF(Q9:Q39,"=CFPC",R9:R39)+SUMIF(S9:S39,"=CFPC",T9:T39)</f>
        <v>0</v>
      </c>
      <c r="F52" s="506"/>
    </row>
    <row r="53" spans="3:6" ht="14.4" thickBot="1" x14ac:dyDescent="0.3">
      <c r="C53" s="497" t="s">
        <v>244</v>
      </c>
      <c r="D53" s="498"/>
      <c r="E53" s="503">
        <f>SUMIF(O10:O40,"=",P10:P40)+SUMIF(Q10:Q40,"=",R10:R40)+SUMIF(S10:S40,"=",T10:T40)</f>
        <v>0</v>
      </c>
      <c r="F53" s="504"/>
    </row>
    <row r="54" spans="3:6" x14ac:dyDescent="0.25">
      <c r="C54" s="138"/>
    </row>
    <row r="55" spans="3:6" x14ac:dyDescent="0.25">
      <c r="C55" s="138"/>
    </row>
    <row r="56" spans="3:6" x14ac:dyDescent="0.25">
      <c r="C56" s="138"/>
    </row>
    <row r="57" spans="3:6" x14ac:dyDescent="0.25">
      <c r="C57" s="138"/>
    </row>
    <row r="58" spans="3:6" x14ac:dyDescent="0.25">
      <c r="C58" s="138"/>
    </row>
    <row r="59" spans="3:6" x14ac:dyDescent="0.25">
      <c r="C59" s="138"/>
    </row>
    <row r="60" spans="3:6" x14ac:dyDescent="0.25">
      <c r="C60" s="138"/>
    </row>
    <row r="61" spans="3:6" x14ac:dyDescent="0.25">
      <c r="C61" s="138"/>
    </row>
    <row r="62" spans="3:6" x14ac:dyDescent="0.25">
      <c r="C62" s="138"/>
    </row>
    <row r="63" spans="3:6" x14ac:dyDescent="0.25">
      <c r="C63" s="138"/>
    </row>
    <row r="64" spans="3:6" x14ac:dyDescent="0.25">
      <c r="C64" s="138"/>
    </row>
    <row r="65" spans="3:4" x14ac:dyDescent="0.25">
      <c r="C65" s="138"/>
    </row>
    <row r="66" spans="3:4" x14ac:dyDescent="0.25">
      <c r="D66" s="142"/>
    </row>
    <row r="67" spans="3:4" x14ac:dyDescent="0.25">
      <c r="D67" s="142"/>
    </row>
    <row r="68" spans="3:4" x14ac:dyDescent="0.25">
      <c r="D68" s="142"/>
    </row>
    <row r="69" spans="3:4" x14ac:dyDescent="0.25">
      <c r="D69" s="142"/>
    </row>
    <row r="70" spans="3:4" x14ac:dyDescent="0.25">
      <c r="D70" s="142"/>
    </row>
    <row r="71" spans="3:4" x14ac:dyDescent="0.25">
      <c r="D71" s="142"/>
    </row>
    <row r="72" spans="3:4" x14ac:dyDescent="0.25">
      <c r="D72" s="142"/>
    </row>
    <row r="73" spans="3:4" x14ac:dyDescent="0.25">
      <c r="D73" s="142"/>
    </row>
    <row r="74" spans="3:4" x14ac:dyDescent="0.25">
      <c r="D74" s="142"/>
    </row>
    <row r="75" spans="3:4" x14ac:dyDescent="0.25">
      <c r="D75" s="142"/>
    </row>
    <row r="76" spans="3:4" x14ac:dyDescent="0.25">
      <c r="D76" s="142"/>
    </row>
    <row r="77" spans="3:4" x14ac:dyDescent="0.25">
      <c r="D77" s="142"/>
    </row>
    <row r="78" spans="3:4" x14ac:dyDescent="0.25">
      <c r="D78" s="142"/>
    </row>
    <row r="79" spans="3:4" x14ac:dyDescent="0.25">
      <c r="D79" s="142"/>
    </row>
    <row r="80" spans="3:4" x14ac:dyDescent="0.25">
      <c r="D80" s="142"/>
    </row>
    <row r="81" spans="4:4" x14ac:dyDescent="0.25">
      <c r="D81" s="142"/>
    </row>
    <row r="82" spans="4:4" x14ac:dyDescent="0.25">
      <c r="D82" s="142"/>
    </row>
    <row r="83" spans="4:4" x14ac:dyDescent="0.25">
      <c r="D83" s="142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22" spans="4:4" x14ac:dyDescent="0.25">
      <c r="D122" s="142"/>
    </row>
    <row r="123" spans="4:4" x14ac:dyDescent="0.25">
      <c r="D123" s="142"/>
    </row>
  </sheetData>
  <sortState xmlns:xlrd2="http://schemas.microsoft.com/office/spreadsheetml/2017/richdata2" ref="C43:F49">
    <sortCondition descending="1" ref="E43"/>
  </sortState>
  <mergeCells count="32">
    <mergeCell ref="E42:F42"/>
    <mergeCell ref="E43:F43"/>
    <mergeCell ref="E53:F53"/>
    <mergeCell ref="E52:F52"/>
    <mergeCell ref="E51:F51"/>
    <mergeCell ref="E50:F50"/>
    <mergeCell ref="E49:F49"/>
    <mergeCell ref="E48:F48"/>
    <mergeCell ref="E47:F47"/>
    <mergeCell ref="E46:F46"/>
    <mergeCell ref="E45:F45"/>
    <mergeCell ref="E44:F44"/>
    <mergeCell ref="C53:D53"/>
    <mergeCell ref="C50:D50"/>
    <mergeCell ref="C51:D51"/>
    <mergeCell ref="C46:D46"/>
    <mergeCell ref="C47:D47"/>
    <mergeCell ref="C52:D52"/>
    <mergeCell ref="C43:D43"/>
    <mergeCell ref="C42:D42"/>
    <mergeCell ref="C45:D45"/>
    <mergeCell ref="C49:D49"/>
    <mergeCell ref="C48:D48"/>
    <mergeCell ref="C44:D44"/>
    <mergeCell ref="C6:X6"/>
    <mergeCell ref="C7:L7"/>
    <mergeCell ref="M7:M39"/>
    <mergeCell ref="B9:B13"/>
    <mergeCell ref="B16:B20"/>
    <mergeCell ref="B23:B27"/>
    <mergeCell ref="B30:B34"/>
    <mergeCell ref="B37:B39"/>
  </mergeCells>
  <conditionalFormatting sqref="L9:L39">
    <cfRule type="expression" dxfId="61" priority="5">
      <formula>L9=0</formula>
    </cfRule>
    <cfRule type="expression" dxfId="60" priority="6">
      <formula>L9&gt;K9</formula>
    </cfRule>
    <cfRule type="expression" dxfId="59" priority="7">
      <formula>L9&lt;K9</formula>
    </cfRule>
    <cfRule type="expression" dxfId="58" priority="8">
      <formula>L9&gt;=K9</formula>
    </cfRule>
  </conditionalFormatting>
  <conditionalFormatting sqref="D9:D39">
    <cfRule type="expression" dxfId="57" priority="3">
      <formula>D9=TODAY()</formula>
    </cfRule>
    <cfRule type="expression" dxfId="56" priority="4">
      <formula>D9&lt;TODAY()</formula>
    </cfRule>
  </conditionalFormatting>
  <conditionalFormatting sqref="L41">
    <cfRule type="expression" dxfId="55" priority="1">
      <formula>AND(L41&lt;&gt;E42)</formula>
    </cfRule>
    <cfRule type="expression" dxfId="54" priority="2">
      <formula>AND(L41=E42)</formula>
    </cfRule>
  </conditionalFormatting>
  <dataValidations disablePrompts="1" count="1">
    <dataValidation type="list" allowBlank="1" showInputMessage="1" showErrorMessage="1" sqref="E40 G40" xr:uid="{00000000-0002-0000-0A00-000000000000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fitToWidth="5" fitToHeight="6" orientation="landscape" r:id="rId1"/>
  <headerFooter>
    <oddHeader xml:space="preserve">&amp;C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3">
    <tabColor theme="5" tint="0.79998168889431442"/>
    <pageSetUpPr fitToPage="1"/>
  </sheetPr>
  <dimension ref="A1:Y119"/>
  <sheetViews>
    <sheetView showGridLines="0" showZeros="0" showRuler="0" topLeftCell="C3" zoomScale="130" zoomScaleNormal="70" zoomScaleSheetLayoutView="100" zoomScalePageLayoutView="70" workbookViewId="0">
      <selection activeCell="A44" sqref="A44"/>
    </sheetView>
  </sheetViews>
  <sheetFormatPr baseColWidth="10" defaultColWidth="11.296875" defaultRowHeight="13.8" x14ac:dyDescent="0.25"/>
  <cols>
    <col min="1" max="1" width="7.59765625" style="117" customWidth="1"/>
    <col min="2" max="2" width="2.6992187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2" width="9.296875" style="117" customWidth="1"/>
    <col min="13" max="13" width="1.59765625" style="117" customWidth="1"/>
    <col min="14" max="14" width="9.296875" style="117" customWidth="1"/>
    <col min="15" max="15" width="8.69921875" style="117" customWidth="1"/>
    <col min="16" max="16" width="5.59765625" style="117" customWidth="1"/>
    <col min="17" max="17" width="8.69921875" style="117" customWidth="1"/>
    <col min="18" max="18" width="5.59765625" style="117" customWidth="1"/>
    <col min="19" max="19" width="8.69921875" style="117" customWidth="1"/>
    <col min="20" max="20" width="5.59765625" style="117" customWidth="1"/>
    <col min="21" max="21" width="8.69921875" style="117" customWidth="1"/>
    <col min="22" max="22" width="5.59765625" style="117" customWidth="1"/>
    <col min="23" max="23" width="8.69921875" style="117" customWidth="1"/>
    <col min="24" max="24" width="5.59765625" style="117" customWidth="1"/>
    <col min="25" max="25" width="2.69921875" style="117" customWidth="1"/>
    <col min="26" max="26" width="7.59765625" style="117" customWidth="1"/>
    <col min="27" max="16384" width="11.296875" style="117"/>
  </cols>
  <sheetData>
    <row r="1" spans="1:25" ht="16.5" customHeight="1" thickBot="1" x14ac:dyDescent="0.3">
      <c r="C1" s="176" t="s">
        <v>220</v>
      </c>
      <c r="D1" s="175">
        <f ca="1">TODAY()</f>
        <v>44935</v>
      </c>
    </row>
    <row r="2" spans="1:25" ht="16.350000000000001" customHeight="1" thickTop="1" thickBot="1" x14ac:dyDescent="0.35">
      <c r="B2" s="118"/>
      <c r="C2" s="473" t="s">
        <v>251</v>
      </c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25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25" ht="16.350000000000001" customHeight="1" thickTop="1" thickBot="1" x14ac:dyDescent="0.3">
      <c r="B4" s="120"/>
      <c r="C4" s="239" t="s">
        <v>214</v>
      </c>
      <c r="D4" s="235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150"/>
      <c r="N4" s="123"/>
      <c r="O4" s="124"/>
      <c r="P4" s="180"/>
      <c r="Q4" s="157"/>
      <c r="R4" s="180"/>
      <c r="S4" s="157"/>
      <c r="T4" s="180"/>
      <c r="U4" s="157"/>
      <c r="V4" s="180"/>
      <c r="W4" s="157"/>
      <c r="X4" s="158"/>
      <c r="Y4" s="121"/>
    </row>
    <row r="5" spans="1:25" ht="16.350000000000001" customHeight="1" thickTop="1" thickBot="1" x14ac:dyDescent="0.35">
      <c r="B5" s="487">
        <f>_xlfn.ISOWEEKNUM(D5)</f>
        <v>31</v>
      </c>
      <c r="C5" s="229" t="s">
        <v>99</v>
      </c>
      <c r="D5" s="230">
        <v>44410</v>
      </c>
      <c r="E5" s="231">
        <v>0.33333333333333331</v>
      </c>
      <c r="F5" s="231">
        <v>0.51041666666666663</v>
      </c>
      <c r="G5" s="232">
        <f>(F5-E5)*24</f>
        <v>4.25</v>
      </c>
      <c r="H5" s="231">
        <v>0.54166666666666663</v>
      </c>
      <c r="I5" s="231">
        <v>0.75</v>
      </c>
      <c r="J5" s="232">
        <f>(I5-H5)*24</f>
        <v>5.0000000000000009</v>
      </c>
      <c r="K5" s="233">
        <v>8.5</v>
      </c>
      <c r="L5" s="234">
        <f t="shared" ref="L5:L11" si="0">(F5-E5+I5-H5)*24</f>
        <v>9.25</v>
      </c>
      <c r="M5" s="211"/>
      <c r="N5" s="212">
        <f t="shared" ref="N5:N34" si="1">ROUND(IF(L5&gt;0,(L5-K5)+N4,+N4),3)</f>
        <v>0.75</v>
      </c>
      <c r="O5" s="213" t="s">
        <v>5</v>
      </c>
      <c r="P5" s="214">
        <v>9.25</v>
      </c>
      <c r="Q5" s="214" t="s">
        <v>253</v>
      </c>
      <c r="R5" s="214"/>
      <c r="S5" s="214"/>
      <c r="T5" s="214"/>
      <c r="U5" s="214"/>
      <c r="V5" s="215"/>
      <c r="W5" s="214"/>
      <c r="X5" s="216"/>
      <c r="Y5" s="253">
        <f>(H5-F5)*24</f>
        <v>0.75</v>
      </c>
    </row>
    <row r="6" spans="1:25" ht="16.350000000000001" customHeight="1" thickTop="1" thickBot="1" x14ac:dyDescent="0.35">
      <c r="B6" s="487"/>
      <c r="C6" s="125" t="s">
        <v>93</v>
      </c>
      <c r="D6" s="126">
        <v>44411</v>
      </c>
      <c r="E6" s="127">
        <v>0.34375</v>
      </c>
      <c r="F6" s="127">
        <v>0.51041666666666663</v>
      </c>
      <c r="G6" s="227">
        <f t="shared" ref="G6:G35" si="2">(F6-E6)*24</f>
        <v>3.9999999999999991</v>
      </c>
      <c r="H6" s="127">
        <v>0.54166666666666663</v>
      </c>
      <c r="I6" s="127">
        <v>0.72916666666666663</v>
      </c>
      <c r="J6" s="227">
        <f t="shared" ref="J6:J35" si="3">(I6-H6)*24</f>
        <v>4.5</v>
      </c>
      <c r="K6" s="115">
        <v>8.5</v>
      </c>
      <c r="L6" s="147">
        <f t="shared" si="0"/>
        <v>8.5</v>
      </c>
      <c r="M6" s="205"/>
      <c r="N6" s="252">
        <f t="shared" si="1"/>
        <v>0.75</v>
      </c>
      <c r="O6" s="159" t="s">
        <v>5</v>
      </c>
      <c r="P6" s="157">
        <v>8.5</v>
      </c>
      <c r="Q6" s="157"/>
      <c r="R6" s="157"/>
      <c r="S6" s="157"/>
      <c r="T6" s="157"/>
      <c r="U6" s="157"/>
      <c r="V6" s="180"/>
      <c r="W6" s="157"/>
      <c r="X6" s="158"/>
      <c r="Y6" s="253">
        <f t="shared" ref="Y6:Y35" si="4">(H6-F6)*24</f>
        <v>0.75</v>
      </c>
    </row>
    <row r="7" spans="1:25" ht="16.350000000000001" customHeight="1" thickTop="1" thickBot="1" x14ac:dyDescent="0.35">
      <c r="A7" s="150"/>
      <c r="B7" s="487"/>
      <c r="C7" s="206" t="s">
        <v>94</v>
      </c>
      <c r="D7" s="207">
        <v>44412</v>
      </c>
      <c r="E7" s="208">
        <v>0.33333333333333331</v>
      </c>
      <c r="F7" s="208">
        <v>0.51041666666666663</v>
      </c>
      <c r="G7" s="132">
        <f t="shared" si="2"/>
        <v>4.25</v>
      </c>
      <c r="H7" s="208">
        <v>0.54166666666666663</v>
      </c>
      <c r="I7" s="208">
        <v>0.71875</v>
      </c>
      <c r="J7" s="132">
        <f t="shared" si="3"/>
        <v>4.2500000000000009</v>
      </c>
      <c r="K7" s="209">
        <v>8.5</v>
      </c>
      <c r="L7" s="210">
        <f t="shared" si="0"/>
        <v>8.5</v>
      </c>
      <c r="M7" s="211"/>
      <c r="N7" s="212">
        <f t="shared" si="1"/>
        <v>0.75</v>
      </c>
      <c r="O7" s="213" t="s">
        <v>5</v>
      </c>
      <c r="P7" s="214">
        <v>8.5</v>
      </c>
      <c r="Q7" s="214"/>
      <c r="R7" s="214"/>
      <c r="S7" s="214"/>
      <c r="T7" s="214"/>
      <c r="U7" s="214"/>
      <c r="V7" s="215"/>
      <c r="W7" s="214"/>
      <c r="X7" s="216"/>
      <c r="Y7" s="253">
        <f t="shared" si="4"/>
        <v>0.75</v>
      </c>
    </row>
    <row r="8" spans="1:25" ht="16.350000000000001" customHeight="1" thickTop="1" thickBot="1" x14ac:dyDescent="0.35">
      <c r="A8" s="150"/>
      <c r="B8" s="487"/>
      <c r="C8" s="125" t="s">
        <v>95</v>
      </c>
      <c r="D8" s="126">
        <v>44413</v>
      </c>
      <c r="E8" s="127">
        <v>0.34375</v>
      </c>
      <c r="F8" s="127">
        <v>0.51041666666666663</v>
      </c>
      <c r="G8" s="227">
        <f t="shared" si="2"/>
        <v>3.9999999999999991</v>
      </c>
      <c r="H8" s="127">
        <v>0.55208333333333337</v>
      </c>
      <c r="I8" s="127">
        <v>0.73958333333333337</v>
      </c>
      <c r="J8" s="227">
        <f t="shared" si="3"/>
        <v>4.5</v>
      </c>
      <c r="K8" s="115">
        <v>8.5</v>
      </c>
      <c r="L8" s="147">
        <f t="shared" si="0"/>
        <v>8.5</v>
      </c>
      <c r="M8" s="205"/>
      <c r="N8" s="252">
        <f t="shared" si="1"/>
        <v>0.75</v>
      </c>
      <c r="O8" s="159" t="s">
        <v>5</v>
      </c>
      <c r="P8" s="157">
        <v>8.5</v>
      </c>
      <c r="Q8" s="157"/>
      <c r="R8" s="157"/>
      <c r="S8" s="160"/>
      <c r="T8" s="157"/>
      <c r="U8" s="157"/>
      <c r="V8" s="180"/>
      <c r="W8" s="157"/>
      <c r="X8" s="158"/>
      <c r="Y8" s="253">
        <f t="shared" si="4"/>
        <v>1.0000000000000018</v>
      </c>
    </row>
    <row r="9" spans="1:25" ht="16.05" customHeight="1" thickTop="1" thickBot="1" x14ac:dyDescent="0.35">
      <c r="A9" s="150"/>
      <c r="B9" s="487"/>
      <c r="C9" s="206" t="s">
        <v>96</v>
      </c>
      <c r="D9" s="207">
        <v>44414</v>
      </c>
      <c r="E9" s="208">
        <v>0.35416666666666669</v>
      </c>
      <c r="F9" s="208">
        <v>0.51041666666666663</v>
      </c>
      <c r="G9" s="132">
        <f t="shared" si="2"/>
        <v>3.7499999999999987</v>
      </c>
      <c r="H9" s="208">
        <v>0.54166666666666663</v>
      </c>
      <c r="I9" s="208">
        <v>0.6875</v>
      </c>
      <c r="J9" s="132">
        <f t="shared" si="3"/>
        <v>3.5000000000000009</v>
      </c>
      <c r="K9" s="209">
        <v>8</v>
      </c>
      <c r="L9" s="210">
        <f t="shared" si="0"/>
        <v>7.2500000000000009</v>
      </c>
      <c r="M9" s="211"/>
      <c r="N9" s="212">
        <f t="shared" si="1"/>
        <v>0</v>
      </c>
      <c r="O9" s="213" t="s">
        <v>241</v>
      </c>
      <c r="P9" s="214">
        <v>7.25</v>
      </c>
      <c r="Q9" s="214" t="s">
        <v>255</v>
      </c>
      <c r="R9" s="214"/>
      <c r="S9" s="214"/>
      <c r="T9" s="214"/>
      <c r="U9" s="217"/>
      <c r="V9" s="215"/>
      <c r="W9" s="214"/>
      <c r="X9" s="216"/>
      <c r="Y9" s="253">
        <f t="shared" si="4"/>
        <v>0.75</v>
      </c>
    </row>
    <row r="10" spans="1:25" ht="1.35" customHeight="1" thickTop="1" thickBot="1" x14ac:dyDescent="0.35">
      <c r="A10" s="150"/>
      <c r="B10" s="122"/>
      <c r="C10" s="143" t="s">
        <v>97</v>
      </c>
      <c r="D10" s="126">
        <v>44415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12">
        <f t="shared" si="1"/>
        <v>0</v>
      </c>
      <c r="O10" s="161"/>
      <c r="P10" s="162"/>
      <c r="Q10" s="162"/>
      <c r="R10" s="162"/>
      <c r="S10" s="162"/>
      <c r="T10" s="162"/>
      <c r="U10" s="163"/>
      <c r="V10" s="181"/>
      <c r="W10" s="162"/>
      <c r="X10" s="164"/>
      <c r="Y10" s="253">
        <f t="shared" si="4"/>
        <v>0</v>
      </c>
    </row>
    <row r="11" spans="1:25" ht="1.35" customHeight="1" thickTop="1" thickBot="1" x14ac:dyDescent="0.35">
      <c r="A11" s="150"/>
      <c r="B11" s="122"/>
      <c r="C11" s="143" t="s">
        <v>98</v>
      </c>
      <c r="D11" s="126">
        <v>44416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12">
        <f t="shared" si="1"/>
        <v>0</v>
      </c>
      <c r="O11" s="161"/>
      <c r="P11" s="162"/>
      <c r="Q11" s="162"/>
      <c r="R11" s="162"/>
      <c r="S11" s="163"/>
      <c r="T11" s="162"/>
      <c r="U11" s="163"/>
      <c r="V11" s="181"/>
      <c r="W11" s="163"/>
      <c r="X11" s="164"/>
      <c r="Y11" s="253">
        <f t="shared" si="4"/>
        <v>0</v>
      </c>
    </row>
    <row r="12" spans="1:25" ht="16.05" customHeight="1" thickTop="1" thickBot="1" x14ac:dyDescent="0.35">
      <c r="A12" s="150"/>
      <c r="B12" s="487">
        <f>_xlfn.ISOWEEKNUM(D12)</f>
        <v>32</v>
      </c>
      <c r="C12" s="125" t="s">
        <v>99</v>
      </c>
      <c r="D12" s="126">
        <v>44417</v>
      </c>
      <c r="E12" s="127">
        <v>0.34375</v>
      </c>
      <c r="F12" s="127">
        <v>0.51041666666666663</v>
      </c>
      <c r="G12" s="227">
        <f t="shared" si="2"/>
        <v>3.9999999999999991</v>
      </c>
      <c r="H12" s="127">
        <v>0.54166666666666663</v>
      </c>
      <c r="I12" s="127">
        <v>0.72916666666666663</v>
      </c>
      <c r="J12" s="227">
        <f t="shared" si="3"/>
        <v>4.5</v>
      </c>
      <c r="K12" s="115">
        <v>8.5</v>
      </c>
      <c r="L12" s="147">
        <f t="shared" ref="L12:L35" si="5">(F12-E12+I12-H12)*24</f>
        <v>8.5</v>
      </c>
      <c r="M12" s="205"/>
      <c r="N12" s="252">
        <f t="shared" si="1"/>
        <v>0</v>
      </c>
      <c r="O12" s="157" t="s">
        <v>241</v>
      </c>
      <c r="P12" s="157">
        <v>4</v>
      </c>
      <c r="Q12" s="157" t="s">
        <v>80</v>
      </c>
      <c r="R12" s="157">
        <v>4.5</v>
      </c>
      <c r="S12" s="157"/>
      <c r="T12" s="157"/>
      <c r="U12" s="160"/>
      <c r="V12" s="180"/>
      <c r="W12" s="157"/>
      <c r="X12" s="158"/>
      <c r="Y12" s="253">
        <f t="shared" si="4"/>
        <v>0.75</v>
      </c>
    </row>
    <row r="13" spans="1:25" ht="16.05" customHeight="1" thickTop="1" thickBot="1" x14ac:dyDescent="0.35">
      <c r="A13" s="150"/>
      <c r="B13" s="487"/>
      <c r="C13" s="206" t="s">
        <v>93</v>
      </c>
      <c r="D13" s="207">
        <v>44418</v>
      </c>
      <c r="E13" s="208">
        <v>0.35416666666666669</v>
      </c>
      <c r="F13" s="208">
        <v>0.51041666666666663</v>
      </c>
      <c r="G13" s="132">
        <f t="shared" si="2"/>
        <v>3.7499999999999987</v>
      </c>
      <c r="H13" s="208">
        <v>0.54166666666666663</v>
      </c>
      <c r="I13" s="208">
        <v>0.73958333333333337</v>
      </c>
      <c r="J13" s="132">
        <f t="shared" si="3"/>
        <v>4.7500000000000018</v>
      </c>
      <c r="K13" s="209">
        <v>8.5</v>
      </c>
      <c r="L13" s="210">
        <f t="shared" si="5"/>
        <v>8.5</v>
      </c>
      <c r="M13" s="211"/>
      <c r="N13" s="212">
        <f t="shared" si="1"/>
        <v>0</v>
      </c>
      <c r="O13" s="214" t="s">
        <v>75</v>
      </c>
      <c r="P13" s="214">
        <v>8.5</v>
      </c>
      <c r="Q13" s="214"/>
      <c r="R13" s="214"/>
      <c r="S13" s="217"/>
      <c r="T13" s="214"/>
      <c r="U13" s="217"/>
      <c r="V13" s="215"/>
      <c r="W13" s="217"/>
      <c r="X13" s="219"/>
      <c r="Y13" s="253">
        <f t="shared" si="4"/>
        <v>0.75</v>
      </c>
    </row>
    <row r="14" spans="1:25" ht="16.05" customHeight="1" thickTop="1" thickBot="1" x14ac:dyDescent="0.35">
      <c r="A14" s="150"/>
      <c r="B14" s="487"/>
      <c r="C14" s="125" t="s">
        <v>94</v>
      </c>
      <c r="D14" s="126">
        <v>44419</v>
      </c>
      <c r="E14" s="127">
        <v>0.34375</v>
      </c>
      <c r="F14" s="127">
        <v>0.51041666666666663</v>
      </c>
      <c r="G14" s="227">
        <f t="shared" si="2"/>
        <v>3.9999999999999991</v>
      </c>
      <c r="H14" s="127">
        <v>0.54166666666666663</v>
      </c>
      <c r="I14" s="127">
        <v>0.72916666666666663</v>
      </c>
      <c r="J14" s="227">
        <f t="shared" si="3"/>
        <v>4.5</v>
      </c>
      <c r="K14" s="115">
        <v>8.5</v>
      </c>
      <c r="L14" s="147">
        <f t="shared" si="5"/>
        <v>8.5</v>
      </c>
      <c r="M14" s="205"/>
      <c r="N14" s="252">
        <f t="shared" si="1"/>
        <v>0</v>
      </c>
      <c r="O14" s="157" t="s">
        <v>241</v>
      </c>
      <c r="P14" s="157">
        <v>8.5</v>
      </c>
      <c r="Q14" s="157"/>
      <c r="R14" s="157"/>
      <c r="S14" s="160"/>
      <c r="T14" s="157"/>
      <c r="U14" s="157"/>
      <c r="V14" s="180"/>
      <c r="W14" s="157"/>
      <c r="X14" s="158"/>
      <c r="Y14" s="253">
        <f t="shared" si="4"/>
        <v>0.75</v>
      </c>
    </row>
    <row r="15" spans="1:25" ht="16.05" customHeight="1" thickTop="1" thickBot="1" x14ac:dyDescent="0.35">
      <c r="A15" s="150"/>
      <c r="B15" s="487"/>
      <c r="C15" s="206" t="s">
        <v>95</v>
      </c>
      <c r="D15" s="207">
        <v>44420</v>
      </c>
      <c r="E15" s="208">
        <v>0.35416666666666669</v>
      </c>
      <c r="F15" s="208">
        <v>0.51041666666666663</v>
      </c>
      <c r="G15" s="132">
        <f t="shared" si="2"/>
        <v>3.7499999999999987</v>
      </c>
      <c r="H15" s="208">
        <v>0.54166666666666663</v>
      </c>
      <c r="I15" s="208">
        <v>0.73958333333333337</v>
      </c>
      <c r="J15" s="132">
        <f t="shared" si="3"/>
        <v>4.7500000000000018</v>
      </c>
      <c r="K15" s="209">
        <v>8.5</v>
      </c>
      <c r="L15" s="210">
        <f t="shared" si="5"/>
        <v>8.5</v>
      </c>
      <c r="M15" s="211"/>
      <c r="N15" s="212">
        <f t="shared" si="1"/>
        <v>0</v>
      </c>
      <c r="O15" s="214" t="s">
        <v>75</v>
      </c>
      <c r="P15" s="214">
        <v>4.5</v>
      </c>
      <c r="Q15" s="214" t="s">
        <v>241</v>
      </c>
      <c r="R15" s="214">
        <v>4</v>
      </c>
      <c r="S15" s="214"/>
      <c r="T15" s="214"/>
      <c r="U15" s="214"/>
      <c r="V15" s="215"/>
      <c r="W15" s="214"/>
      <c r="X15" s="216"/>
      <c r="Y15" s="253">
        <f t="shared" si="4"/>
        <v>0.75</v>
      </c>
    </row>
    <row r="16" spans="1:25" ht="16.05" customHeight="1" thickTop="1" thickBot="1" x14ac:dyDescent="0.35">
      <c r="A16" s="150"/>
      <c r="B16" s="487"/>
      <c r="C16" s="125" t="s">
        <v>96</v>
      </c>
      <c r="D16" s="126">
        <v>44421</v>
      </c>
      <c r="E16" s="127">
        <v>0.34375</v>
      </c>
      <c r="F16" s="127">
        <v>0.53125</v>
      </c>
      <c r="G16" s="227">
        <f t="shared" si="2"/>
        <v>4.5</v>
      </c>
      <c r="H16" s="127">
        <v>0.5625</v>
      </c>
      <c r="I16" s="127">
        <v>0.70833333333333337</v>
      </c>
      <c r="J16" s="227">
        <f t="shared" si="3"/>
        <v>3.5000000000000009</v>
      </c>
      <c r="K16" s="115">
        <v>8</v>
      </c>
      <c r="L16" s="147">
        <f t="shared" si="5"/>
        <v>8</v>
      </c>
      <c r="M16" s="205"/>
      <c r="N16" s="252">
        <f t="shared" si="1"/>
        <v>0</v>
      </c>
      <c r="O16" s="157" t="s">
        <v>75</v>
      </c>
      <c r="P16" s="157">
        <v>8</v>
      </c>
      <c r="Q16" s="157"/>
      <c r="R16" s="157"/>
      <c r="S16" s="160"/>
      <c r="T16" s="157"/>
      <c r="U16" s="157"/>
      <c r="V16" s="180"/>
      <c r="W16" s="157"/>
      <c r="X16" s="158"/>
      <c r="Y16" s="253">
        <f t="shared" si="4"/>
        <v>0.75</v>
      </c>
    </row>
    <row r="17" spans="1:25" ht="1.35" customHeight="1" thickTop="1" thickBot="1" x14ac:dyDescent="0.35">
      <c r="A17" s="150"/>
      <c r="B17" s="185"/>
      <c r="C17" s="143" t="s">
        <v>97</v>
      </c>
      <c r="D17" s="126">
        <v>44422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12">
        <f t="shared" si="1"/>
        <v>0</v>
      </c>
      <c r="O17" s="161"/>
      <c r="P17" s="162"/>
      <c r="Q17" s="162"/>
      <c r="R17" s="162"/>
      <c r="S17" s="162"/>
      <c r="T17" s="162"/>
      <c r="U17" s="162"/>
      <c r="V17" s="181"/>
      <c r="W17" s="162"/>
      <c r="X17" s="164"/>
      <c r="Y17" s="253">
        <f t="shared" si="4"/>
        <v>0</v>
      </c>
    </row>
    <row r="18" spans="1:25" ht="1.35" customHeight="1" thickTop="1" thickBot="1" x14ac:dyDescent="0.35">
      <c r="A18" s="150"/>
      <c r="B18" s="185"/>
      <c r="C18" s="143" t="s">
        <v>98</v>
      </c>
      <c r="D18" s="126">
        <v>44423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12">
        <f t="shared" si="1"/>
        <v>0</v>
      </c>
      <c r="O18" s="161"/>
      <c r="P18" s="162"/>
      <c r="Q18" s="162"/>
      <c r="R18" s="162"/>
      <c r="S18" s="163"/>
      <c r="T18" s="162"/>
      <c r="U18" s="162"/>
      <c r="V18" s="181"/>
      <c r="W18" s="162"/>
      <c r="X18" s="164"/>
      <c r="Y18" s="253">
        <f t="shared" si="4"/>
        <v>0</v>
      </c>
    </row>
    <row r="19" spans="1:25" ht="16.05" customHeight="1" thickTop="1" thickBot="1" x14ac:dyDescent="0.35">
      <c r="A19" s="150"/>
      <c r="B19" s="487">
        <f>_xlfn.ISOWEEKNUM(D19)</f>
        <v>33</v>
      </c>
      <c r="C19" s="206" t="s">
        <v>99</v>
      </c>
      <c r="D19" s="207">
        <v>44424</v>
      </c>
      <c r="E19" s="208">
        <v>0.34375</v>
      </c>
      <c r="F19" s="208">
        <v>0.51041666666666663</v>
      </c>
      <c r="G19" s="132">
        <f t="shared" si="2"/>
        <v>3.9999999999999991</v>
      </c>
      <c r="H19" s="208">
        <v>0.54166666666666663</v>
      </c>
      <c r="I19" s="208">
        <v>0.72916666666666663</v>
      </c>
      <c r="J19" s="132">
        <f t="shared" si="3"/>
        <v>4.5</v>
      </c>
      <c r="K19" s="209">
        <v>8.5</v>
      </c>
      <c r="L19" s="210">
        <f t="shared" si="5"/>
        <v>8.5</v>
      </c>
      <c r="M19" s="211"/>
      <c r="N19" s="212">
        <f t="shared" si="1"/>
        <v>0</v>
      </c>
      <c r="O19" s="213" t="s">
        <v>75</v>
      </c>
      <c r="P19" s="214">
        <v>8.5</v>
      </c>
      <c r="Q19" s="214"/>
      <c r="R19" s="214"/>
      <c r="S19" s="217"/>
      <c r="T19" s="214"/>
      <c r="U19" s="217"/>
      <c r="V19" s="215"/>
      <c r="W19" s="214"/>
      <c r="X19" s="216"/>
      <c r="Y19" s="253">
        <f t="shared" si="4"/>
        <v>0.75</v>
      </c>
    </row>
    <row r="20" spans="1:25" ht="16.05" customHeight="1" thickTop="1" thickBot="1" x14ac:dyDescent="0.35">
      <c r="A20" s="150"/>
      <c r="B20" s="487"/>
      <c r="C20" s="125" t="s">
        <v>93</v>
      </c>
      <c r="D20" s="126">
        <v>44425</v>
      </c>
      <c r="E20" s="127">
        <v>0.35416666666666669</v>
      </c>
      <c r="F20" s="127">
        <v>0.51041666666666663</v>
      </c>
      <c r="G20" s="227">
        <f t="shared" si="2"/>
        <v>3.7499999999999987</v>
      </c>
      <c r="H20" s="127">
        <v>0.54166666666666663</v>
      </c>
      <c r="I20" s="127">
        <v>0.73958333333333337</v>
      </c>
      <c r="J20" s="227">
        <f t="shared" si="3"/>
        <v>4.7500000000000018</v>
      </c>
      <c r="K20" s="115">
        <v>8.5</v>
      </c>
      <c r="L20" s="147">
        <f t="shared" si="5"/>
        <v>8.5</v>
      </c>
      <c r="M20" s="205"/>
      <c r="N20" s="252">
        <f t="shared" si="1"/>
        <v>0</v>
      </c>
      <c r="O20" s="159" t="s">
        <v>75</v>
      </c>
      <c r="P20" s="157">
        <v>8.5</v>
      </c>
      <c r="Q20" s="157"/>
      <c r="R20" s="157"/>
      <c r="S20" s="157"/>
      <c r="T20" s="157"/>
      <c r="U20" s="157"/>
      <c r="V20" s="180"/>
      <c r="W20" s="157"/>
      <c r="X20" s="158"/>
      <c r="Y20" s="253">
        <f t="shared" si="4"/>
        <v>0.75</v>
      </c>
    </row>
    <row r="21" spans="1:25" ht="16.05" customHeight="1" thickTop="1" thickBot="1" x14ac:dyDescent="0.35">
      <c r="A21" s="150"/>
      <c r="B21" s="487"/>
      <c r="C21" s="206" t="s">
        <v>94</v>
      </c>
      <c r="D21" s="207">
        <v>44426</v>
      </c>
      <c r="E21" s="208">
        <v>0.34375</v>
      </c>
      <c r="F21" s="208">
        <v>0.51041666666666663</v>
      </c>
      <c r="G21" s="132">
        <f t="shared" si="2"/>
        <v>3.9999999999999991</v>
      </c>
      <c r="H21" s="208">
        <v>0.54166666666666663</v>
      </c>
      <c r="I21" s="208">
        <v>0.72916666666666663</v>
      </c>
      <c r="J21" s="132">
        <f t="shared" si="3"/>
        <v>4.5</v>
      </c>
      <c r="K21" s="209">
        <v>8.5</v>
      </c>
      <c r="L21" s="210">
        <f t="shared" si="5"/>
        <v>8.5</v>
      </c>
      <c r="M21" s="211"/>
      <c r="N21" s="212">
        <f t="shared" si="1"/>
        <v>0</v>
      </c>
      <c r="O21" s="213" t="s">
        <v>75</v>
      </c>
      <c r="P21" s="214">
        <v>8.5</v>
      </c>
      <c r="Q21" s="214"/>
      <c r="R21" s="214"/>
      <c r="S21" s="214"/>
      <c r="T21" s="214"/>
      <c r="U21" s="214"/>
      <c r="V21" s="215"/>
      <c r="W21" s="214"/>
      <c r="X21" s="216"/>
      <c r="Y21" s="253">
        <f t="shared" si="4"/>
        <v>0.75</v>
      </c>
    </row>
    <row r="22" spans="1:25" ht="16.05" customHeight="1" thickTop="1" thickBot="1" x14ac:dyDescent="0.35">
      <c r="A22" s="150"/>
      <c r="B22" s="487"/>
      <c r="C22" s="125" t="s">
        <v>95</v>
      </c>
      <c r="D22" s="126">
        <v>44427</v>
      </c>
      <c r="E22" s="127">
        <v>0.35416666666666669</v>
      </c>
      <c r="F22" s="127">
        <v>0.51041666666666663</v>
      </c>
      <c r="G22" s="227">
        <f t="shared" si="2"/>
        <v>3.7499999999999987</v>
      </c>
      <c r="H22" s="127">
        <v>0.55208333333333337</v>
      </c>
      <c r="I22" s="127">
        <v>0.75</v>
      </c>
      <c r="J22" s="227">
        <f t="shared" si="3"/>
        <v>4.7499999999999991</v>
      </c>
      <c r="K22" s="115">
        <v>8.5</v>
      </c>
      <c r="L22" s="147">
        <f t="shared" si="5"/>
        <v>8.5</v>
      </c>
      <c r="M22" s="205"/>
      <c r="N22" s="252">
        <f t="shared" si="1"/>
        <v>0</v>
      </c>
      <c r="O22" s="159" t="s">
        <v>75</v>
      </c>
      <c r="P22" s="157">
        <v>8.5</v>
      </c>
      <c r="Q22" s="157"/>
      <c r="R22" s="157"/>
      <c r="S22" s="157"/>
      <c r="T22" s="157"/>
      <c r="U22" s="157"/>
      <c r="V22" s="180"/>
      <c r="W22" s="157"/>
      <c r="X22" s="158"/>
      <c r="Y22" s="253">
        <f t="shared" si="4"/>
        <v>1.0000000000000018</v>
      </c>
    </row>
    <row r="23" spans="1:25" ht="16.05" customHeight="1" thickTop="1" thickBot="1" x14ac:dyDescent="0.35">
      <c r="A23" s="150"/>
      <c r="B23" s="487"/>
      <c r="C23" s="206" t="s">
        <v>96</v>
      </c>
      <c r="D23" s="207">
        <v>44428</v>
      </c>
      <c r="E23" s="208">
        <v>0.34375</v>
      </c>
      <c r="F23" s="208">
        <v>0.51041666666666663</v>
      </c>
      <c r="G23" s="132">
        <f t="shared" si="2"/>
        <v>3.9999999999999991</v>
      </c>
      <c r="H23" s="208">
        <v>0.54166666666666663</v>
      </c>
      <c r="I23" s="208">
        <v>0.70833333333333337</v>
      </c>
      <c r="J23" s="132">
        <f t="shared" si="3"/>
        <v>4.0000000000000018</v>
      </c>
      <c r="K23" s="209">
        <v>8</v>
      </c>
      <c r="L23" s="210">
        <f t="shared" si="5"/>
        <v>8</v>
      </c>
      <c r="M23" s="211"/>
      <c r="N23" s="212">
        <f t="shared" si="1"/>
        <v>0</v>
      </c>
      <c r="O23" s="213" t="s">
        <v>171</v>
      </c>
      <c r="P23" s="214">
        <v>4</v>
      </c>
      <c r="Q23" s="214" t="s">
        <v>256</v>
      </c>
      <c r="R23" s="214">
        <v>4</v>
      </c>
      <c r="S23" s="214"/>
      <c r="T23" s="214"/>
      <c r="U23" s="214"/>
      <c r="V23" s="215"/>
      <c r="W23" s="214"/>
      <c r="X23" s="216"/>
      <c r="Y23" s="253">
        <f t="shared" si="4"/>
        <v>0.75</v>
      </c>
    </row>
    <row r="24" spans="1:25" ht="1.35" customHeight="1" thickTop="1" thickBot="1" x14ac:dyDescent="0.35">
      <c r="A24" s="150"/>
      <c r="B24" s="185"/>
      <c r="C24" s="143" t="s">
        <v>97</v>
      </c>
      <c r="D24" s="126">
        <v>44429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12">
        <f t="shared" si="1"/>
        <v>0</v>
      </c>
      <c r="O24" s="161"/>
      <c r="P24" s="162"/>
      <c r="Q24" s="162"/>
      <c r="R24" s="162"/>
      <c r="S24" s="162"/>
      <c r="T24" s="162"/>
      <c r="U24" s="162"/>
      <c r="V24" s="181"/>
      <c r="W24" s="162"/>
      <c r="X24" s="164"/>
      <c r="Y24" s="253">
        <f t="shared" si="4"/>
        <v>0</v>
      </c>
    </row>
    <row r="25" spans="1:25" ht="1.35" customHeight="1" thickTop="1" thickBot="1" x14ac:dyDescent="0.35">
      <c r="A25" s="150"/>
      <c r="B25" s="185"/>
      <c r="C25" s="143" t="s">
        <v>98</v>
      </c>
      <c r="D25" s="126">
        <v>44430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12">
        <f t="shared" si="1"/>
        <v>0</v>
      </c>
      <c r="O25" s="161"/>
      <c r="P25" s="162"/>
      <c r="Q25" s="162"/>
      <c r="R25" s="162"/>
      <c r="S25" s="162"/>
      <c r="T25" s="162"/>
      <c r="U25" s="162"/>
      <c r="V25" s="181"/>
      <c r="W25" s="162"/>
      <c r="X25" s="164"/>
      <c r="Y25" s="253">
        <f t="shared" si="4"/>
        <v>0</v>
      </c>
    </row>
    <row r="26" spans="1:25" ht="16.05" customHeight="1" thickTop="1" thickBot="1" x14ac:dyDescent="0.35">
      <c r="A26" s="150"/>
      <c r="B26" s="487">
        <f>_xlfn.ISOWEEKNUM(D26)</f>
        <v>34</v>
      </c>
      <c r="C26" s="125" t="s">
        <v>99</v>
      </c>
      <c r="D26" s="126">
        <v>44431</v>
      </c>
      <c r="E26" s="127">
        <v>0.34375</v>
      </c>
      <c r="F26" s="127">
        <v>0.51041666666666663</v>
      </c>
      <c r="G26" s="227">
        <f t="shared" si="2"/>
        <v>3.9999999999999991</v>
      </c>
      <c r="H26" s="127">
        <v>0.54166666666666663</v>
      </c>
      <c r="I26" s="127">
        <v>0.72916666666666663</v>
      </c>
      <c r="J26" s="227">
        <f t="shared" si="3"/>
        <v>4.5</v>
      </c>
      <c r="K26" s="115">
        <v>8.5</v>
      </c>
      <c r="L26" s="147">
        <f t="shared" si="5"/>
        <v>8.5</v>
      </c>
      <c r="M26" s="205"/>
      <c r="N26" s="252">
        <f t="shared" si="1"/>
        <v>0</v>
      </c>
      <c r="O26" s="159" t="s">
        <v>171</v>
      </c>
      <c r="P26" s="157">
        <v>4.5</v>
      </c>
      <c r="Q26" s="157" t="s">
        <v>75</v>
      </c>
      <c r="R26" s="157">
        <v>4</v>
      </c>
      <c r="S26" s="157"/>
      <c r="T26" s="157"/>
      <c r="U26" s="157"/>
      <c r="V26" s="180"/>
      <c r="W26" s="157"/>
      <c r="X26" s="158"/>
      <c r="Y26" s="253">
        <f t="shared" si="4"/>
        <v>0.75</v>
      </c>
    </row>
    <row r="27" spans="1:25" ht="16.05" customHeight="1" thickTop="1" thickBot="1" x14ac:dyDescent="0.35">
      <c r="A27" s="150"/>
      <c r="B27" s="487"/>
      <c r="C27" s="206" t="s">
        <v>93</v>
      </c>
      <c r="D27" s="207">
        <v>44432</v>
      </c>
      <c r="E27" s="208">
        <v>0.35416666666666669</v>
      </c>
      <c r="F27" s="208">
        <v>0.51041666666666663</v>
      </c>
      <c r="G27" s="132">
        <f t="shared" si="2"/>
        <v>3.7499999999999987</v>
      </c>
      <c r="H27" s="208">
        <v>0.54166666666666663</v>
      </c>
      <c r="I27" s="208">
        <v>0.73958333333333337</v>
      </c>
      <c r="J27" s="132">
        <f t="shared" si="3"/>
        <v>4.7500000000000018</v>
      </c>
      <c r="K27" s="209">
        <v>8.5</v>
      </c>
      <c r="L27" s="210">
        <f t="shared" si="5"/>
        <v>8.5</v>
      </c>
      <c r="M27" s="211"/>
      <c r="N27" s="212">
        <f t="shared" si="1"/>
        <v>0</v>
      </c>
      <c r="O27" s="213" t="s">
        <v>171</v>
      </c>
      <c r="P27" s="214">
        <v>8.5</v>
      </c>
      <c r="Q27" s="214"/>
      <c r="R27" s="214"/>
      <c r="S27" s="214"/>
      <c r="T27" s="214"/>
      <c r="U27" s="214"/>
      <c r="V27" s="215"/>
      <c r="W27" s="214"/>
      <c r="X27" s="216"/>
      <c r="Y27" s="253">
        <f t="shared" si="4"/>
        <v>0.75</v>
      </c>
    </row>
    <row r="28" spans="1:25" ht="16.05" customHeight="1" thickTop="1" thickBot="1" x14ac:dyDescent="0.35">
      <c r="A28" s="150"/>
      <c r="B28" s="487"/>
      <c r="C28" s="125" t="s">
        <v>94</v>
      </c>
      <c r="D28" s="126">
        <v>44433</v>
      </c>
      <c r="E28" s="127">
        <v>0.35416666666666669</v>
      </c>
      <c r="F28" s="127">
        <v>0.51041666666666663</v>
      </c>
      <c r="G28" s="227">
        <f t="shared" si="2"/>
        <v>3.7499999999999987</v>
      </c>
      <c r="H28" s="127">
        <v>0.54166666666666663</v>
      </c>
      <c r="I28" s="127">
        <v>0.73958333333333337</v>
      </c>
      <c r="J28" s="227">
        <f t="shared" si="3"/>
        <v>4.7500000000000018</v>
      </c>
      <c r="K28" s="115">
        <v>8.5</v>
      </c>
      <c r="L28" s="147">
        <f t="shared" si="5"/>
        <v>8.5</v>
      </c>
      <c r="M28" s="205"/>
      <c r="N28" s="252">
        <f t="shared" si="1"/>
        <v>0</v>
      </c>
      <c r="O28" s="159" t="s">
        <v>75</v>
      </c>
      <c r="P28" s="157">
        <v>8.5</v>
      </c>
      <c r="Q28" s="157"/>
      <c r="R28" s="157"/>
      <c r="S28" s="157"/>
      <c r="T28" s="157"/>
      <c r="U28" s="157"/>
      <c r="V28" s="180"/>
      <c r="W28" s="157"/>
      <c r="X28" s="158"/>
      <c r="Y28" s="253">
        <f t="shared" si="4"/>
        <v>0.75</v>
      </c>
    </row>
    <row r="29" spans="1:25" ht="16.05" customHeight="1" thickTop="1" thickBot="1" x14ac:dyDescent="0.35">
      <c r="A29" s="150"/>
      <c r="B29" s="487"/>
      <c r="C29" s="206" t="s">
        <v>95</v>
      </c>
      <c r="D29" s="207">
        <v>44434</v>
      </c>
      <c r="E29" s="208">
        <v>0.33333333333333331</v>
      </c>
      <c r="F29" s="208">
        <v>0.51041666666666663</v>
      </c>
      <c r="G29" s="132">
        <f t="shared" si="2"/>
        <v>4.25</v>
      </c>
      <c r="H29" s="208">
        <v>0.54166666666666663</v>
      </c>
      <c r="I29" s="208">
        <v>0.71875</v>
      </c>
      <c r="J29" s="132">
        <f t="shared" si="3"/>
        <v>4.2500000000000009</v>
      </c>
      <c r="K29" s="209">
        <v>8.5</v>
      </c>
      <c r="L29" s="210">
        <f t="shared" si="5"/>
        <v>8.5</v>
      </c>
      <c r="M29" s="211"/>
      <c r="N29" s="212">
        <f t="shared" si="1"/>
        <v>0</v>
      </c>
      <c r="O29" s="213" t="s">
        <v>5</v>
      </c>
      <c r="P29" s="214">
        <v>4.75</v>
      </c>
      <c r="Q29" s="214" t="s">
        <v>72</v>
      </c>
      <c r="R29" s="214">
        <v>3.75</v>
      </c>
      <c r="S29" s="214"/>
      <c r="T29" s="214"/>
      <c r="U29" s="214"/>
      <c r="V29" s="215"/>
      <c r="W29" s="214"/>
      <c r="X29" s="216"/>
      <c r="Y29" s="253">
        <f t="shared" si="4"/>
        <v>0.75</v>
      </c>
    </row>
    <row r="30" spans="1:25" ht="16.05" customHeight="1" thickTop="1" thickBot="1" x14ac:dyDescent="0.35">
      <c r="A30" s="150"/>
      <c r="B30" s="487"/>
      <c r="C30" s="125" t="s">
        <v>96</v>
      </c>
      <c r="D30" s="126">
        <v>44435</v>
      </c>
      <c r="E30" s="127">
        <v>0.34375</v>
      </c>
      <c r="F30" s="127">
        <v>0.51041666666666663</v>
      </c>
      <c r="G30" s="227">
        <f t="shared" si="2"/>
        <v>3.9999999999999991</v>
      </c>
      <c r="H30" s="127">
        <v>0.54166666666666663</v>
      </c>
      <c r="I30" s="127">
        <v>0.70833333333333337</v>
      </c>
      <c r="J30" s="227">
        <f t="shared" si="3"/>
        <v>4.0000000000000018</v>
      </c>
      <c r="K30" s="115">
        <v>8</v>
      </c>
      <c r="L30" s="147">
        <f t="shared" si="5"/>
        <v>8</v>
      </c>
      <c r="M30" s="205"/>
      <c r="N30" s="252">
        <f t="shared" si="1"/>
        <v>0</v>
      </c>
      <c r="O30" s="159" t="s">
        <v>139</v>
      </c>
      <c r="P30" s="157">
        <v>8</v>
      </c>
      <c r="Q30" s="157"/>
      <c r="R30" s="157"/>
      <c r="S30" s="157"/>
      <c r="T30" s="157"/>
      <c r="U30" s="157"/>
      <c r="V30" s="180"/>
      <c r="W30" s="157"/>
      <c r="X30" s="158"/>
      <c r="Y30" s="253">
        <f t="shared" si="4"/>
        <v>0.75</v>
      </c>
    </row>
    <row r="31" spans="1:25" ht="1.35" customHeight="1" thickTop="1" thickBot="1" x14ac:dyDescent="0.35">
      <c r="A31" s="150"/>
      <c r="B31" s="185"/>
      <c r="C31" s="143" t="s">
        <v>97</v>
      </c>
      <c r="D31" s="126">
        <v>44436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5"/>
        <v>0</v>
      </c>
      <c r="M31" s="205"/>
      <c r="N31" s="212">
        <f t="shared" si="1"/>
        <v>0</v>
      </c>
      <c r="O31" s="161"/>
      <c r="P31" s="162"/>
      <c r="Q31" s="162"/>
      <c r="R31" s="162"/>
      <c r="S31" s="162"/>
      <c r="T31" s="162"/>
      <c r="U31" s="162"/>
      <c r="V31" s="181"/>
      <c r="W31" s="162"/>
      <c r="X31" s="164"/>
      <c r="Y31" s="253">
        <f t="shared" si="4"/>
        <v>0</v>
      </c>
    </row>
    <row r="32" spans="1:25" ht="1.35" customHeight="1" thickTop="1" thickBot="1" x14ac:dyDescent="0.35">
      <c r="A32" s="150"/>
      <c r="B32" s="185"/>
      <c r="C32" s="143" t="s">
        <v>98</v>
      </c>
      <c r="D32" s="126">
        <v>44437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5"/>
        <v>0</v>
      </c>
      <c r="M32" s="205"/>
      <c r="N32" s="212">
        <f t="shared" si="1"/>
        <v>0</v>
      </c>
      <c r="O32" s="161"/>
      <c r="P32" s="162"/>
      <c r="Q32" s="162"/>
      <c r="R32" s="162"/>
      <c r="S32" s="162"/>
      <c r="T32" s="162"/>
      <c r="U32" s="162"/>
      <c r="V32" s="181"/>
      <c r="W32" s="162"/>
      <c r="X32" s="164"/>
      <c r="Y32" s="253">
        <f t="shared" si="4"/>
        <v>0</v>
      </c>
    </row>
    <row r="33" spans="1:25" ht="16.05" customHeight="1" thickTop="1" thickBot="1" x14ac:dyDescent="0.35">
      <c r="A33" s="150"/>
      <c r="B33" s="487">
        <f>_xlfn.ISOWEEKNUM(D33)</f>
        <v>35</v>
      </c>
      <c r="C33" s="206" t="s">
        <v>99</v>
      </c>
      <c r="D33" s="207">
        <v>44438</v>
      </c>
      <c r="E33" s="208"/>
      <c r="F33" s="208"/>
      <c r="G33" s="132">
        <f t="shared" si="2"/>
        <v>0</v>
      </c>
      <c r="H33" s="208"/>
      <c r="I33" s="251"/>
      <c r="J33" s="132">
        <v>8.5</v>
      </c>
      <c r="K33" s="209">
        <v>8.5</v>
      </c>
      <c r="L33" s="210">
        <v>8.5</v>
      </c>
      <c r="M33" s="211"/>
      <c r="N33" s="212">
        <f t="shared" si="1"/>
        <v>0</v>
      </c>
      <c r="O33" s="213" t="s">
        <v>216</v>
      </c>
      <c r="P33" s="214">
        <v>8.5</v>
      </c>
      <c r="Q33" s="214"/>
      <c r="R33" s="214"/>
      <c r="S33" s="214"/>
      <c r="T33" s="214"/>
      <c r="U33" s="214"/>
      <c r="V33" s="215"/>
      <c r="W33" s="214"/>
      <c r="X33" s="216"/>
      <c r="Y33" s="253">
        <f t="shared" si="4"/>
        <v>0</v>
      </c>
    </row>
    <row r="34" spans="1:25" ht="16.05" customHeight="1" thickTop="1" thickBot="1" x14ac:dyDescent="0.35">
      <c r="A34" s="150"/>
      <c r="B34" s="487"/>
      <c r="C34" s="125" t="s">
        <v>93</v>
      </c>
      <c r="D34" s="126">
        <v>44439</v>
      </c>
      <c r="E34" s="127">
        <v>0.32291666666666669</v>
      </c>
      <c r="F34" s="127">
        <v>0.52083333333333337</v>
      </c>
      <c r="G34" s="227">
        <f t="shared" si="2"/>
        <v>4.75</v>
      </c>
      <c r="H34" s="127">
        <v>0.55208333333333337</v>
      </c>
      <c r="I34" s="127">
        <v>0.72916666666666663</v>
      </c>
      <c r="J34" s="227">
        <f t="shared" si="3"/>
        <v>4.2499999999999982</v>
      </c>
      <c r="K34" s="115">
        <v>8.5</v>
      </c>
      <c r="L34" s="147">
        <f t="shared" si="5"/>
        <v>8.9999999999999964</v>
      </c>
      <c r="M34" s="205"/>
      <c r="N34" s="252">
        <f t="shared" si="1"/>
        <v>0.5</v>
      </c>
      <c r="O34" s="159" t="s">
        <v>146</v>
      </c>
      <c r="P34" s="157">
        <v>6</v>
      </c>
      <c r="Q34" s="157" t="s">
        <v>5</v>
      </c>
      <c r="R34" s="157">
        <v>3</v>
      </c>
      <c r="S34" s="157"/>
      <c r="T34" s="157"/>
      <c r="U34" s="157"/>
      <c r="V34" s="180"/>
      <c r="W34" s="157"/>
      <c r="X34" s="158"/>
      <c r="Y34" s="253">
        <f t="shared" si="4"/>
        <v>0.75</v>
      </c>
    </row>
    <row r="35" spans="1:25" ht="16.350000000000001" customHeight="1" thickTop="1" thickBot="1" x14ac:dyDescent="0.35">
      <c r="A35" s="150"/>
      <c r="B35" s="487"/>
      <c r="C35" s="206" t="s">
        <v>94</v>
      </c>
      <c r="D35" s="207">
        <v>44440</v>
      </c>
      <c r="E35" s="220"/>
      <c r="F35" s="220"/>
      <c r="G35" s="228">
        <f t="shared" si="2"/>
        <v>0</v>
      </c>
      <c r="H35" s="220"/>
      <c r="I35" s="220"/>
      <c r="J35" s="228">
        <f t="shared" si="3"/>
        <v>0</v>
      </c>
      <c r="K35" s="221">
        <v>8.5</v>
      </c>
      <c r="L35" s="210">
        <f t="shared" si="5"/>
        <v>0</v>
      </c>
      <c r="M35" s="222"/>
      <c r="N35" s="212">
        <f>ROUND(IF(L35&gt;0,(L35-K35)+N34,+N34),3)</f>
        <v>0.5</v>
      </c>
      <c r="O35" s="223"/>
      <c r="P35" s="224"/>
      <c r="Q35" s="224"/>
      <c r="R35" s="224"/>
      <c r="S35" s="224"/>
      <c r="T35" s="224"/>
      <c r="U35" s="224"/>
      <c r="V35" s="225"/>
      <c r="W35" s="224"/>
      <c r="X35" s="226"/>
      <c r="Y35" s="253">
        <f t="shared" si="4"/>
        <v>0</v>
      </c>
    </row>
    <row r="36" spans="1:25" ht="15" thickTop="1" thickBot="1" x14ac:dyDescent="0.3">
      <c r="B36" s="134"/>
      <c r="C36" s="135"/>
      <c r="D36" s="136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86"/>
      <c r="U36" s="135"/>
      <c r="V36" s="135"/>
      <c r="W36" s="135"/>
      <c r="X36" s="135"/>
      <c r="Y36" s="137"/>
    </row>
    <row r="37" spans="1:25" ht="15" thickTop="1" thickBot="1" x14ac:dyDescent="0.3">
      <c r="C37" s="138"/>
      <c r="L37" s="176">
        <f>L5+L6+L7+L8+L9+L12+L13+L14+L15+L16+L19+L20+L21+L22+L23+L26+L27+L28+L29+L30+L33+L34+L35</f>
        <v>185.5</v>
      </c>
      <c r="P37" s="256"/>
      <c r="Q37" s="140"/>
    </row>
    <row r="38" spans="1:25" ht="16.8" thickTop="1" thickBot="1" x14ac:dyDescent="0.35">
      <c r="C38" s="491" t="s">
        <v>225</v>
      </c>
      <c r="D38" s="519"/>
      <c r="E38" s="499">
        <f>SUM(E39:E48)</f>
        <v>185.5</v>
      </c>
      <c r="F38" s="500"/>
      <c r="Q38" s="138"/>
    </row>
    <row r="39" spans="1:25" ht="14.4" thickTop="1" x14ac:dyDescent="0.25">
      <c r="C39" s="520" t="s">
        <v>75</v>
      </c>
      <c r="D39" s="521"/>
      <c r="E39" s="522">
        <f>SUMIF(O5:O35,"OBA*",P5:P35)+SUMIF(Q5:Q35,"OBA*",R5:R35)+SUMIF(S5:S35,"OBA*",T5:T35)</f>
        <v>72</v>
      </c>
      <c r="F39" s="523"/>
      <c r="J39" s="255"/>
      <c r="K39" s="254"/>
      <c r="P39" s="139"/>
      <c r="S39" s="141"/>
    </row>
    <row r="40" spans="1:25" x14ac:dyDescent="0.25">
      <c r="C40" s="493" t="s">
        <v>226</v>
      </c>
      <c r="D40" s="494"/>
      <c r="E40" s="511">
        <f>SUMIF(O5:O35,"=3607B65",P5:P35)+SUMIF(Q5:Q35,"=3607B65",R5:R35)+SUMIF(S5:S35,"=3607B65",T5:T35)+SUMIF(U5:U35,"=3607B65",V5:V35)</f>
        <v>23.75</v>
      </c>
      <c r="F40" s="512"/>
      <c r="Q40" s="140"/>
    </row>
    <row r="41" spans="1:25" x14ac:dyDescent="0.25">
      <c r="C41" s="493" t="s">
        <v>171</v>
      </c>
      <c r="D41" s="494"/>
      <c r="E41" s="511">
        <f>SUMIF(O5:O35,"=Mudac",P5:P35)+SUMIF(Q5:Q35,"=Mudac",R5:R35)+SUMIF(S5:S35,"=Mudac",T5:T35)+SUMIF(U5:U35,"=Mudac",V5:V35)</f>
        <v>17</v>
      </c>
      <c r="F41" s="512"/>
      <c r="Q41" s="138"/>
    </row>
    <row r="42" spans="1:25" x14ac:dyDescent="0.25">
      <c r="C42" s="493" t="s">
        <v>227</v>
      </c>
      <c r="D42" s="494"/>
      <c r="E42" s="511">
        <f>SUMIF(O5:O35,"Clair*",P5:P35)+SUMIF(Q5:Q35,"Clair*",R5:R35)+SUMIF(S5:S35,"Clair*",T5:T35)</f>
        <v>42.5</v>
      </c>
      <c r="F42" s="512"/>
    </row>
    <row r="43" spans="1:25" x14ac:dyDescent="0.25">
      <c r="C43" s="495" t="s">
        <v>139</v>
      </c>
      <c r="D43" s="496"/>
      <c r="E43" s="517">
        <f>SUMIF(O5:O35,"=Onyx*",P5:P35)+SUMIF(Q5:Q35,"=Onyx*",R5:R35)+SUMIF(S5:S35,"=Onyx*",T5:T35)</f>
        <v>8</v>
      </c>
      <c r="F43" s="518"/>
    </row>
    <row r="44" spans="1:25" x14ac:dyDescent="0.25">
      <c r="C44" s="493" t="s">
        <v>254</v>
      </c>
      <c r="D44" s="494"/>
      <c r="E44" s="505"/>
      <c r="F44" s="506"/>
    </row>
    <row r="45" spans="1:25" x14ac:dyDescent="0.25">
      <c r="C45" s="493" t="s">
        <v>249</v>
      </c>
      <c r="D45" s="494"/>
      <c r="E45" s="511">
        <f>SUMIF(O5:O35,"Data*",P5:P35)+SUMIF(Q5:Q35,"Data*",R5:R35)+SUMIF(S5:S35,"Data*",T5:T35)</f>
        <v>4</v>
      </c>
      <c r="F45" s="512"/>
    </row>
    <row r="46" spans="1:25" x14ac:dyDescent="0.25">
      <c r="C46" s="493" t="s">
        <v>216</v>
      </c>
      <c r="D46" s="494"/>
      <c r="E46" s="515">
        <f>SUMIF(O5:O35,"=CFPC",P5:P35)+SUMIF(Q5:Q35,"=CFPC",R5:R35)+SUMIF(S5:S35,"=CFPC",T5:T35)</f>
        <v>8.5</v>
      </c>
      <c r="F46" s="516"/>
    </row>
    <row r="47" spans="1:25" x14ac:dyDescent="0.25">
      <c r="C47" s="493" t="s">
        <v>72</v>
      </c>
      <c r="D47" s="494"/>
      <c r="E47" s="511">
        <f>SUMIF(O5:O35,"=Formation*",P5:P35)+SUMIF(Q5:Q35,"=Formation*",R5:R35)</f>
        <v>9.75</v>
      </c>
      <c r="F47" s="512"/>
    </row>
    <row r="48" spans="1:25" x14ac:dyDescent="0.25">
      <c r="C48" s="493" t="s">
        <v>244</v>
      </c>
      <c r="D48" s="494"/>
      <c r="E48" s="507">
        <f>SUMIF(O5:O35,"=",P5:P35)+SUMIF(Q5:Q35,"=",R5:R35)+SUMIF(S5:S35,"=",T5:T35)</f>
        <v>0</v>
      </c>
      <c r="F48" s="508"/>
    </row>
    <row r="49" spans="3:6" ht="14.4" thickBot="1" x14ac:dyDescent="0.3">
      <c r="C49" s="497" t="s">
        <v>228</v>
      </c>
      <c r="D49" s="498"/>
      <c r="E49" s="513"/>
      <c r="F49" s="514"/>
    </row>
    <row r="50" spans="3:6" x14ac:dyDescent="0.25">
      <c r="C50" s="138"/>
    </row>
    <row r="51" spans="3:6" x14ac:dyDescent="0.25">
      <c r="C51" s="138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</row>
    <row r="56" spans="3:6" x14ac:dyDescent="0.25">
      <c r="C56" s="138"/>
    </row>
    <row r="57" spans="3:6" x14ac:dyDescent="0.25">
      <c r="C57" s="138"/>
    </row>
    <row r="58" spans="3:6" x14ac:dyDescent="0.25">
      <c r="C58" s="138"/>
    </row>
    <row r="59" spans="3:6" x14ac:dyDescent="0.25">
      <c r="C59" s="138"/>
    </row>
    <row r="60" spans="3:6" x14ac:dyDescent="0.25">
      <c r="C60" s="138"/>
    </row>
    <row r="61" spans="3:6" x14ac:dyDescent="0.25">
      <c r="C61" s="138"/>
    </row>
    <row r="62" spans="3:6" x14ac:dyDescent="0.25">
      <c r="D62" s="142"/>
    </row>
    <row r="63" spans="3:6" x14ac:dyDescent="0.25">
      <c r="D63" s="142"/>
    </row>
    <row r="64" spans="3:6" x14ac:dyDescent="0.25">
      <c r="D64" s="142"/>
    </row>
    <row r="65" spans="4:4" x14ac:dyDescent="0.25">
      <c r="D65" s="142"/>
    </row>
    <row r="66" spans="4:4" x14ac:dyDescent="0.25">
      <c r="D66" s="142"/>
    </row>
    <row r="67" spans="4:4" x14ac:dyDescent="0.25">
      <c r="D67" s="142"/>
    </row>
    <row r="68" spans="4:4" x14ac:dyDescent="0.25">
      <c r="D68" s="142"/>
    </row>
    <row r="69" spans="4:4" x14ac:dyDescent="0.25">
      <c r="D69" s="142"/>
    </row>
    <row r="70" spans="4:4" x14ac:dyDescent="0.25">
      <c r="D70" s="142"/>
    </row>
    <row r="71" spans="4:4" x14ac:dyDescent="0.25">
      <c r="D71" s="142"/>
    </row>
    <row r="72" spans="4:4" x14ac:dyDescent="0.25">
      <c r="D72" s="142"/>
    </row>
    <row r="73" spans="4:4" x14ac:dyDescent="0.25">
      <c r="D73" s="142"/>
    </row>
    <row r="74" spans="4:4" x14ac:dyDescent="0.25">
      <c r="D74" s="142"/>
    </row>
    <row r="75" spans="4:4" x14ac:dyDescent="0.25">
      <c r="D75" s="142"/>
    </row>
    <row r="76" spans="4:4" x14ac:dyDescent="0.25">
      <c r="D76" s="142"/>
    </row>
    <row r="77" spans="4:4" x14ac:dyDescent="0.25">
      <c r="D77" s="142"/>
    </row>
    <row r="78" spans="4:4" x14ac:dyDescent="0.25">
      <c r="D78" s="142"/>
    </row>
    <row r="79" spans="4:4" x14ac:dyDescent="0.25">
      <c r="D79" s="142"/>
    </row>
    <row r="80" spans="4:4" x14ac:dyDescent="0.25">
      <c r="D80" s="142"/>
    </row>
    <row r="81" spans="4:4" x14ac:dyDescent="0.25">
      <c r="D81" s="142"/>
    </row>
    <row r="82" spans="4:4" x14ac:dyDescent="0.25">
      <c r="D82" s="142"/>
    </row>
    <row r="83" spans="4:4" x14ac:dyDescent="0.25">
      <c r="D83" s="142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</sheetData>
  <sortState xmlns:xlrd2="http://schemas.microsoft.com/office/spreadsheetml/2017/richdata2" ref="C39:F45">
    <sortCondition descending="1" ref="E39"/>
  </sortState>
  <mergeCells count="31">
    <mergeCell ref="B26:B30"/>
    <mergeCell ref="B33:B35"/>
    <mergeCell ref="C2:X2"/>
    <mergeCell ref="C3:L3"/>
    <mergeCell ref="B5:B9"/>
    <mergeCell ref="B12:B16"/>
    <mergeCell ref="B19:B23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</mergeCells>
  <conditionalFormatting sqref="D5:D35">
    <cfRule type="expression" dxfId="53" priority="3">
      <formula>D5=TODAY()</formula>
    </cfRule>
    <cfRule type="expression" dxfId="52" priority="4">
      <formula>D5&lt;TODAY()</formula>
    </cfRule>
  </conditionalFormatting>
  <conditionalFormatting sqref="L37">
    <cfRule type="expression" dxfId="51" priority="1">
      <formula>AND(L37&lt;&gt;E38)</formula>
    </cfRule>
    <cfRule type="expression" dxfId="50" priority="2">
      <formula>AND(L37=E38)</formula>
    </cfRule>
  </conditionalFormatting>
  <dataValidations disablePrompts="1" count="1">
    <dataValidation type="list" allowBlank="1" showInputMessage="1" showErrorMessage="1" sqref="E36 G36" xr:uid="{00000000-0002-0000-0B00-000000000000}">
      <formula1>#REF!</formula1>
    </dataValidation>
  </dataValidations>
  <pageMargins left="0.25" right="0.25" top="0.75" bottom="0.75" header="0.3" footer="0.3"/>
  <pageSetup paperSize="9" scale="71" fitToHeight="0" orientation="landscape" r:id="rId1"/>
  <headerFooter>
    <oddHeader xml:space="preserve">&amp;C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4">
    <tabColor theme="5" tint="0.59999389629810485"/>
    <pageSetUpPr fitToPage="1"/>
  </sheetPr>
  <dimension ref="A1:AO121"/>
  <sheetViews>
    <sheetView showGridLines="0" showZeros="0" showRuler="0" topLeftCell="C11" zoomScale="115" zoomScaleNormal="115" zoomScaleSheetLayoutView="100" zoomScalePageLayoutView="70" workbookViewId="0">
      <selection activeCell="P38" sqref="P38"/>
    </sheetView>
  </sheetViews>
  <sheetFormatPr baseColWidth="10" defaultColWidth="11" defaultRowHeight="13.8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2" width="9.296875" style="117" customWidth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/>
    <col min="29" max="29" width="13.296875" style="117" customWidth="1"/>
    <col min="30" max="30" width="9.59765625" style="117" customWidth="1"/>
    <col min="31" max="31" width="11" style="117"/>
    <col min="32" max="32" width="15.09765625" style="117" customWidth="1"/>
    <col min="33" max="33" width="11" style="117"/>
    <col min="34" max="34" width="15.69921875" style="117" customWidth="1"/>
    <col min="35" max="37" width="11" style="117"/>
    <col min="38" max="38" width="11.8984375" style="117" customWidth="1"/>
    <col min="39" max="39" width="11" style="117"/>
    <col min="40" max="40" width="14.5" style="117" customWidth="1"/>
    <col min="41" max="16384" width="11" style="117"/>
  </cols>
  <sheetData>
    <row r="1" spans="1:41" ht="16.5" customHeight="1" thickBot="1" x14ac:dyDescent="0.3">
      <c r="C1" s="176" t="s">
        <v>220</v>
      </c>
      <c r="D1" s="175">
        <f ca="1">TODAY()</f>
        <v>44935</v>
      </c>
    </row>
    <row r="2" spans="1:41" ht="16.350000000000001" customHeight="1" thickTop="1" thickBot="1" x14ac:dyDescent="0.35">
      <c r="B2" s="118"/>
      <c r="C2" s="473" t="s">
        <v>251</v>
      </c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1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K3" s="117">
        <v>2021</v>
      </c>
      <c r="AN3" s="117">
        <v>2022</v>
      </c>
    </row>
    <row r="4" spans="1:41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150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C4" s="117" t="s">
        <v>259</v>
      </c>
      <c r="AD4" s="117" t="s">
        <v>258</v>
      </c>
      <c r="AF4" s="117" t="s">
        <v>260</v>
      </c>
      <c r="AH4" s="117" t="s">
        <v>240</v>
      </c>
      <c r="AK4" s="138"/>
      <c r="AN4" s="138"/>
    </row>
    <row r="5" spans="1:41" ht="16.350000000000001" customHeight="1" thickTop="1" thickBot="1" x14ac:dyDescent="0.35">
      <c r="B5" s="487">
        <f>_xlfn.ISOWEEKNUM(D5)</f>
        <v>35</v>
      </c>
      <c r="C5" s="229" t="s">
        <v>99</v>
      </c>
      <c r="D5" s="247">
        <v>44438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4" si="0">(F5-E5+I5-H5)*24</f>
        <v>0</v>
      </c>
      <c r="M5" s="211"/>
      <c r="N5" s="249">
        <f t="shared" ref="N5:N34" si="1">IF(L5&gt;0,(L5-K5)+N4,+N4)</f>
        <v>0</v>
      </c>
      <c r="O5" s="213"/>
      <c r="P5" s="214"/>
      <c r="Q5" s="214"/>
      <c r="R5" s="214"/>
      <c r="S5" s="214"/>
      <c r="T5" s="214"/>
      <c r="U5" s="214"/>
      <c r="V5" s="215"/>
      <c r="W5" s="214"/>
      <c r="X5" s="216"/>
      <c r="Y5" s="121"/>
      <c r="AC5" s="260">
        <v>350</v>
      </c>
      <c r="AD5" s="260">
        <v>24</v>
      </c>
      <c r="AF5" s="260">
        <v>35</v>
      </c>
      <c r="AH5" s="259">
        <v>0.01</v>
      </c>
      <c r="AI5" s="117" t="s">
        <v>261</v>
      </c>
      <c r="AK5" s="138" t="s">
        <v>280</v>
      </c>
      <c r="AL5" s="263">
        <v>745</v>
      </c>
      <c r="AN5" s="138" t="s">
        <v>280</v>
      </c>
      <c r="AO5" s="263">
        <v>1020</v>
      </c>
    </row>
    <row r="6" spans="1:41" ht="16.350000000000001" customHeight="1" thickTop="1" thickBot="1" x14ac:dyDescent="0.35">
      <c r="B6" s="487"/>
      <c r="C6" s="125" t="s">
        <v>93</v>
      </c>
      <c r="D6" s="245">
        <v>44439</v>
      </c>
      <c r="E6" s="127"/>
      <c r="F6" s="127"/>
      <c r="G6" s="227">
        <f t="shared" ref="G6:G34" si="2">(F6-E6)*24</f>
        <v>0</v>
      </c>
      <c r="H6" s="127"/>
      <c r="I6" s="127"/>
      <c r="J6" s="227">
        <f t="shared" ref="J6:J34" si="3">(I6-H6)*24</f>
        <v>0</v>
      </c>
      <c r="K6" s="115">
        <v>8.5</v>
      </c>
      <c r="L6" s="147">
        <f t="shared" si="0"/>
        <v>0</v>
      </c>
      <c r="M6" s="205"/>
      <c r="N6" s="250">
        <f t="shared" si="1"/>
        <v>0</v>
      </c>
      <c r="O6" s="159"/>
      <c r="P6" s="157"/>
      <c r="Q6" s="157"/>
      <c r="R6" s="157"/>
      <c r="S6" s="157"/>
      <c r="T6" s="157"/>
      <c r="U6" s="157"/>
      <c r="V6" s="180"/>
      <c r="W6" s="157"/>
      <c r="X6" s="158"/>
      <c r="Y6" s="121"/>
      <c r="AC6" s="257"/>
      <c r="AH6" s="260">
        <f>AF7*AH5</f>
        <v>5.104166666666667</v>
      </c>
      <c r="AK6" s="138" t="s">
        <v>281</v>
      </c>
      <c r="AL6" s="263">
        <v>745</v>
      </c>
      <c r="AN6" s="138" t="s">
        <v>281</v>
      </c>
      <c r="AO6" s="263">
        <v>1020</v>
      </c>
    </row>
    <row r="7" spans="1:41" ht="16.350000000000001" customHeight="1" thickTop="1" thickBot="1" x14ac:dyDescent="0.35">
      <c r="A7" s="150"/>
      <c r="B7" s="487"/>
      <c r="C7" s="206" t="s">
        <v>94</v>
      </c>
      <c r="D7" s="207">
        <v>44440</v>
      </c>
      <c r="E7" s="208">
        <v>0.33333333333333331</v>
      </c>
      <c r="F7" s="208">
        <v>0.51041666666666663</v>
      </c>
      <c r="G7" s="132">
        <f t="shared" si="2"/>
        <v>4.25</v>
      </c>
      <c r="H7" s="208">
        <v>0.54166666666666663</v>
      </c>
      <c r="I7" s="208">
        <v>0.75</v>
      </c>
      <c r="J7" s="132">
        <f t="shared" si="3"/>
        <v>5.0000000000000009</v>
      </c>
      <c r="K7" s="209">
        <v>8.5</v>
      </c>
      <c r="L7" s="210">
        <f t="shared" si="0"/>
        <v>9.25</v>
      </c>
      <c r="M7" s="211"/>
      <c r="N7" s="249">
        <f t="shared" si="1"/>
        <v>0.75</v>
      </c>
      <c r="O7" s="213" t="s">
        <v>140</v>
      </c>
      <c r="P7" s="214">
        <v>9.25</v>
      </c>
      <c r="Q7" s="214"/>
      <c r="R7" s="214"/>
      <c r="S7" s="214"/>
      <c r="T7" s="214" t="s">
        <v>270</v>
      </c>
      <c r="U7" s="214"/>
      <c r="V7" s="215"/>
      <c r="W7" s="214"/>
      <c r="X7" s="216"/>
      <c r="Y7" s="121"/>
      <c r="AB7" s="257"/>
      <c r="AD7" s="140">
        <f>AC5/AD5</f>
        <v>14.583333333333334</v>
      </c>
      <c r="AE7" s="117" t="s">
        <v>257</v>
      </c>
      <c r="AF7" s="260">
        <f>AF5*AD7</f>
        <v>510.41666666666669</v>
      </c>
      <c r="AH7" s="260">
        <f>AH8-AH9</f>
        <v>5.1041666666666572</v>
      </c>
      <c r="AI7" s="117" t="s">
        <v>264</v>
      </c>
      <c r="AK7" s="138" t="s">
        <v>282</v>
      </c>
      <c r="AL7" s="263">
        <v>745</v>
      </c>
      <c r="AN7" s="138" t="s">
        <v>282</v>
      </c>
      <c r="AO7" s="263">
        <v>1020</v>
      </c>
    </row>
    <row r="8" spans="1:41" ht="16.350000000000001" customHeight="1" thickTop="1" thickBot="1" x14ac:dyDescent="0.35">
      <c r="A8" s="150"/>
      <c r="B8" s="487"/>
      <c r="C8" s="125" t="s">
        <v>95</v>
      </c>
      <c r="D8" s="126">
        <v>44441</v>
      </c>
      <c r="E8" s="127">
        <v>0.35416666666666669</v>
      </c>
      <c r="F8" s="127">
        <v>0.51041666666666663</v>
      </c>
      <c r="G8" s="227">
        <f t="shared" si="2"/>
        <v>3.7499999999999987</v>
      </c>
      <c r="H8" s="127">
        <v>0.54166666666666663</v>
      </c>
      <c r="I8" s="127">
        <v>0.78125</v>
      </c>
      <c r="J8" s="227">
        <f t="shared" si="3"/>
        <v>5.7500000000000009</v>
      </c>
      <c r="K8" s="115">
        <v>8.5</v>
      </c>
      <c r="L8" s="147">
        <f t="shared" si="0"/>
        <v>9.5</v>
      </c>
      <c r="M8" s="205"/>
      <c r="N8" s="250">
        <f t="shared" si="1"/>
        <v>1.75</v>
      </c>
      <c r="O8" s="159" t="s">
        <v>72</v>
      </c>
      <c r="P8" s="157">
        <v>4</v>
      </c>
      <c r="Q8" s="157" t="s">
        <v>89</v>
      </c>
      <c r="R8" s="157">
        <v>5.5</v>
      </c>
      <c r="S8" s="160"/>
      <c r="T8" s="157" t="s">
        <v>271</v>
      </c>
      <c r="U8" s="157"/>
      <c r="V8" s="180"/>
      <c r="W8" s="157"/>
      <c r="X8" s="158"/>
      <c r="Y8" s="121"/>
      <c r="AE8" s="258"/>
      <c r="AH8" s="260">
        <f>AF7-AC5</f>
        <v>160.41666666666669</v>
      </c>
      <c r="AI8" s="117" t="s">
        <v>262</v>
      </c>
      <c r="AK8" s="138" t="s">
        <v>283</v>
      </c>
      <c r="AL8" s="263">
        <v>745</v>
      </c>
      <c r="AN8" s="138" t="s">
        <v>283</v>
      </c>
      <c r="AO8" s="263">
        <v>1020</v>
      </c>
    </row>
    <row r="9" spans="1:41" ht="16.05" customHeight="1" thickTop="1" thickBot="1" x14ac:dyDescent="0.35">
      <c r="A9" s="150"/>
      <c r="B9" s="487"/>
      <c r="C9" s="206" t="s">
        <v>96</v>
      </c>
      <c r="D9" s="207">
        <v>44442</v>
      </c>
      <c r="E9" s="208">
        <v>0.3125</v>
      </c>
      <c r="F9" s="208">
        <v>0.5</v>
      </c>
      <c r="G9" s="132">
        <f t="shared" si="2"/>
        <v>4.5</v>
      </c>
      <c r="H9" s="208">
        <v>0.55208333333333337</v>
      </c>
      <c r="I9" s="208">
        <v>0.70833333333333337</v>
      </c>
      <c r="J9" s="132">
        <f t="shared" si="3"/>
        <v>3.75</v>
      </c>
      <c r="K9" s="209">
        <v>8</v>
      </c>
      <c r="L9" s="210">
        <f t="shared" si="0"/>
        <v>8.25</v>
      </c>
      <c r="M9" s="211"/>
      <c r="N9" s="249">
        <f t="shared" si="1"/>
        <v>2</v>
      </c>
      <c r="O9" s="213" t="s">
        <v>265</v>
      </c>
      <c r="P9" s="214">
        <v>4.5</v>
      </c>
      <c r="Q9" s="214" t="s">
        <v>266</v>
      </c>
      <c r="R9" s="214">
        <v>3.75</v>
      </c>
      <c r="S9" s="214"/>
      <c r="T9" s="214" t="s">
        <v>273</v>
      </c>
      <c r="U9" s="217"/>
      <c r="V9" s="215"/>
      <c r="W9" s="214"/>
      <c r="X9" s="216"/>
      <c r="Y9" s="121"/>
      <c r="AG9" s="259">
        <f>AH9/AC5</f>
        <v>0.44375000000000009</v>
      </c>
      <c r="AH9" s="261">
        <f>IF(AH6&gt;1,AH8-AH6,AH8-1)</f>
        <v>155.31250000000003</v>
      </c>
      <c r="AI9" s="117" t="s">
        <v>263</v>
      </c>
      <c r="AK9" s="138" t="s">
        <v>284</v>
      </c>
      <c r="AL9" s="263">
        <v>745</v>
      </c>
      <c r="AN9" s="138" t="s">
        <v>284</v>
      </c>
      <c r="AO9" s="263">
        <v>1020</v>
      </c>
    </row>
    <row r="10" spans="1:41" ht="1.35" customHeight="1" thickTop="1" thickBot="1" x14ac:dyDescent="0.35">
      <c r="A10" s="150"/>
      <c r="B10" s="122"/>
      <c r="C10" s="143" t="s">
        <v>97</v>
      </c>
      <c r="D10" s="126">
        <v>44443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2</v>
      </c>
      <c r="O10" s="161"/>
      <c r="P10" s="162"/>
      <c r="Q10" s="162"/>
      <c r="R10" s="162"/>
      <c r="S10" s="162"/>
      <c r="T10" s="162"/>
      <c r="U10" s="163"/>
      <c r="V10" s="181"/>
      <c r="W10" s="162"/>
      <c r="X10" s="164"/>
      <c r="Y10" s="121"/>
      <c r="AK10" s="138" t="s">
        <v>285</v>
      </c>
      <c r="AL10" s="263">
        <v>745</v>
      </c>
      <c r="AN10" s="138" t="s">
        <v>285</v>
      </c>
      <c r="AO10" s="263">
        <v>1020</v>
      </c>
    </row>
    <row r="11" spans="1:41" ht="1.35" customHeight="1" thickTop="1" thickBot="1" x14ac:dyDescent="0.35">
      <c r="A11" s="150"/>
      <c r="B11" s="122"/>
      <c r="C11" s="143" t="s">
        <v>98</v>
      </c>
      <c r="D11" s="126">
        <v>44444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50">
        <f t="shared" si="1"/>
        <v>2</v>
      </c>
      <c r="O11" s="161"/>
      <c r="P11" s="162"/>
      <c r="Q11" s="162"/>
      <c r="R11" s="162"/>
      <c r="S11" s="163"/>
      <c r="T11" s="162"/>
      <c r="U11" s="163"/>
      <c r="V11" s="181"/>
      <c r="W11" s="163"/>
      <c r="X11" s="164"/>
      <c r="Y11" s="121"/>
      <c r="AK11" s="138" t="s">
        <v>286</v>
      </c>
      <c r="AL11" s="263">
        <v>745</v>
      </c>
      <c r="AN11" s="138" t="s">
        <v>286</v>
      </c>
      <c r="AO11" s="263">
        <v>1020</v>
      </c>
    </row>
    <row r="12" spans="1:41" ht="16.05" customHeight="1" thickTop="1" thickBot="1" x14ac:dyDescent="0.35">
      <c r="A12" s="150"/>
      <c r="B12" s="487">
        <f>_xlfn.ISOWEEKNUM(D12)</f>
        <v>36</v>
      </c>
      <c r="C12" s="125" t="s">
        <v>99</v>
      </c>
      <c r="D12" s="126">
        <v>44445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2</v>
      </c>
      <c r="O12" s="157" t="s">
        <v>216</v>
      </c>
      <c r="P12" s="157">
        <v>8.5</v>
      </c>
      <c r="S12" s="157"/>
      <c r="T12" s="157"/>
      <c r="U12" s="160"/>
      <c r="V12" s="180"/>
      <c r="W12" s="157"/>
      <c r="X12" s="158"/>
      <c r="Y12" s="121"/>
      <c r="AH12" s="257"/>
      <c r="AK12" s="138" t="s">
        <v>287</v>
      </c>
      <c r="AL12" s="263">
        <v>945</v>
      </c>
      <c r="AN12" s="138" t="s">
        <v>287</v>
      </c>
      <c r="AO12" s="263">
        <v>1150</v>
      </c>
    </row>
    <row r="13" spans="1:41" ht="16.05" customHeight="1" thickTop="1" thickBot="1" x14ac:dyDescent="0.35">
      <c r="A13" s="150"/>
      <c r="B13" s="487"/>
      <c r="C13" s="206" t="s">
        <v>93</v>
      </c>
      <c r="D13" s="207">
        <v>44446</v>
      </c>
      <c r="E13" s="208">
        <v>0.33333333333333331</v>
      </c>
      <c r="F13" s="208">
        <v>0.51041666666666663</v>
      </c>
      <c r="G13" s="132">
        <f t="shared" si="2"/>
        <v>4.25</v>
      </c>
      <c r="H13" s="208">
        <v>0.54166666666666663</v>
      </c>
      <c r="I13" s="208">
        <v>0.71875</v>
      </c>
      <c r="J13" s="132">
        <f t="shared" si="3"/>
        <v>4.2500000000000009</v>
      </c>
      <c r="K13" s="209">
        <v>8.5</v>
      </c>
      <c r="L13" s="210">
        <f t="shared" si="0"/>
        <v>8.5</v>
      </c>
      <c r="M13" s="211"/>
      <c r="N13" s="249">
        <f t="shared" si="1"/>
        <v>2</v>
      </c>
      <c r="O13" s="214" t="s">
        <v>5</v>
      </c>
      <c r="P13" s="214">
        <v>8.5</v>
      </c>
      <c r="Q13" s="218"/>
      <c r="R13" s="218"/>
      <c r="S13" s="217"/>
      <c r="T13" s="214"/>
      <c r="U13" s="217"/>
      <c r="V13" s="215"/>
      <c r="W13" s="217"/>
      <c r="X13" s="219"/>
      <c r="Y13" s="133"/>
      <c r="AK13" s="138" t="s">
        <v>288</v>
      </c>
      <c r="AL13" s="263">
        <v>1020</v>
      </c>
      <c r="AN13" s="138" t="s">
        <v>288</v>
      </c>
      <c r="AO13" s="263">
        <v>1300</v>
      </c>
    </row>
    <row r="14" spans="1:41" ht="16.05" customHeight="1" thickTop="1" thickBot="1" x14ac:dyDescent="0.35">
      <c r="A14" s="150"/>
      <c r="B14" s="487"/>
      <c r="C14" s="125" t="s">
        <v>94</v>
      </c>
      <c r="D14" s="126">
        <v>44447</v>
      </c>
      <c r="E14" s="127">
        <v>0.33333333333333331</v>
      </c>
      <c r="F14" s="127">
        <v>0.52083333333333337</v>
      </c>
      <c r="G14" s="227">
        <f t="shared" si="2"/>
        <v>4.5000000000000018</v>
      </c>
      <c r="H14" s="127">
        <v>0.55208333333333337</v>
      </c>
      <c r="I14" s="127">
        <v>0.71875</v>
      </c>
      <c r="J14" s="227">
        <f t="shared" si="3"/>
        <v>3.9999999999999991</v>
      </c>
      <c r="K14" s="115">
        <v>8.5</v>
      </c>
      <c r="L14" s="147">
        <f t="shared" si="0"/>
        <v>8.5</v>
      </c>
      <c r="M14" s="205"/>
      <c r="N14" s="250">
        <f t="shared" si="1"/>
        <v>2</v>
      </c>
      <c r="O14" s="157" t="s">
        <v>267</v>
      </c>
      <c r="P14" s="157">
        <v>8.5</v>
      </c>
      <c r="S14" s="160"/>
      <c r="T14" s="157"/>
      <c r="U14" s="157"/>
      <c r="V14" s="180"/>
      <c r="W14" s="157"/>
      <c r="X14" s="158"/>
      <c r="Y14" s="133"/>
      <c r="AH14" s="257"/>
      <c r="AK14" s="138" t="s">
        <v>289</v>
      </c>
      <c r="AL14" s="263">
        <v>1020</v>
      </c>
      <c r="AN14" s="138" t="s">
        <v>289</v>
      </c>
      <c r="AO14" s="263">
        <v>1300</v>
      </c>
    </row>
    <row r="15" spans="1:41" ht="16.05" customHeight="1" thickTop="1" thickBot="1" x14ac:dyDescent="0.35">
      <c r="A15" s="150"/>
      <c r="B15" s="487"/>
      <c r="C15" s="206" t="s">
        <v>95</v>
      </c>
      <c r="D15" s="207">
        <v>44448</v>
      </c>
      <c r="E15" s="208"/>
      <c r="F15" s="208"/>
      <c r="G15" s="132">
        <f t="shared" si="2"/>
        <v>0</v>
      </c>
      <c r="H15" s="208"/>
      <c r="I15" s="208">
        <v>0.35416666666666669</v>
      </c>
      <c r="J15" s="132">
        <f t="shared" si="3"/>
        <v>8.5</v>
      </c>
      <c r="K15" s="209">
        <v>8.5</v>
      </c>
      <c r="L15" s="210"/>
      <c r="M15" s="211"/>
      <c r="N15" s="249">
        <f t="shared" si="1"/>
        <v>2</v>
      </c>
      <c r="O15" s="214" t="s">
        <v>103</v>
      </c>
      <c r="P15" s="214"/>
      <c r="Q15" s="218"/>
      <c r="R15" s="218"/>
      <c r="S15" s="218"/>
      <c r="T15" s="218"/>
      <c r="U15" s="214"/>
      <c r="V15" s="215"/>
      <c r="W15" s="214"/>
      <c r="X15" s="216"/>
      <c r="Y15" s="133"/>
      <c r="AC15" s="117" t="s">
        <v>259</v>
      </c>
      <c r="AD15" s="117" t="s">
        <v>258</v>
      </c>
      <c r="AF15" s="117" t="s">
        <v>260</v>
      </c>
      <c r="AH15" s="117" t="s">
        <v>240</v>
      </c>
      <c r="AK15" s="138" t="s">
        <v>290</v>
      </c>
      <c r="AL15" s="263">
        <v>1020</v>
      </c>
      <c r="AN15" s="138" t="s">
        <v>290</v>
      </c>
      <c r="AO15" s="263">
        <v>1300</v>
      </c>
    </row>
    <row r="16" spans="1:41" ht="16.05" customHeight="1" thickTop="1" thickBot="1" x14ac:dyDescent="0.35">
      <c r="A16" s="150"/>
      <c r="B16" s="487"/>
      <c r="C16" s="125" t="s">
        <v>96</v>
      </c>
      <c r="D16" s="126">
        <v>44449</v>
      </c>
      <c r="E16" s="127"/>
      <c r="F16" s="127"/>
      <c r="G16" s="227">
        <f t="shared" si="2"/>
        <v>0</v>
      </c>
      <c r="H16" s="127"/>
      <c r="I16" s="127">
        <v>0.33333333333333331</v>
      </c>
      <c r="J16" s="227">
        <f t="shared" si="3"/>
        <v>8</v>
      </c>
      <c r="K16" s="115">
        <v>8</v>
      </c>
      <c r="L16" s="147"/>
      <c r="M16" s="205"/>
      <c r="N16" s="250">
        <f t="shared" si="1"/>
        <v>2</v>
      </c>
      <c r="O16" s="157" t="s">
        <v>103</v>
      </c>
      <c r="P16" s="157"/>
      <c r="S16" s="160"/>
      <c r="T16" s="157"/>
      <c r="U16" s="157"/>
      <c r="V16" s="180"/>
      <c r="W16" s="157"/>
      <c r="X16" s="158"/>
      <c r="Y16" s="133"/>
      <c r="AC16" s="260">
        <v>650</v>
      </c>
      <c r="AD16" s="260">
        <v>1.28</v>
      </c>
      <c r="AF16" s="260">
        <v>0.84</v>
      </c>
      <c r="AH16" s="259">
        <v>0.01</v>
      </c>
      <c r="AI16" s="117" t="s">
        <v>261</v>
      </c>
      <c r="AK16" s="138" t="s">
        <v>291</v>
      </c>
      <c r="AL16" s="263">
        <v>1020</v>
      </c>
      <c r="AN16" s="138" t="s">
        <v>291</v>
      </c>
      <c r="AO16" s="263">
        <v>1300</v>
      </c>
    </row>
    <row r="17" spans="1:41" ht="1.35" customHeight="1" thickTop="1" thickBot="1" x14ac:dyDescent="0.35">
      <c r="A17" s="150"/>
      <c r="B17" s="185"/>
      <c r="C17" s="143" t="s">
        <v>97</v>
      </c>
      <c r="D17" s="126">
        <v>44450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50">
        <f t="shared" si="1"/>
        <v>2</v>
      </c>
      <c r="O17" s="161"/>
      <c r="P17" s="162"/>
      <c r="Q17" s="162"/>
      <c r="R17" s="162"/>
      <c r="S17" s="162"/>
      <c r="T17" s="162"/>
      <c r="U17" s="162"/>
      <c r="V17" s="181"/>
      <c r="W17" s="162"/>
      <c r="X17" s="164"/>
      <c r="Y17" s="133"/>
      <c r="AC17" s="257"/>
      <c r="AH17" s="260">
        <f>AF18*AH16</f>
        <v>4.265625</v>
      </c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126">
        <v>44451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50">
        <f t="shared" si="1"/>
        <v>2</v>
      </c>
      <c r="O18" s="161"/>
      <c r="P18" s="162"/>
      <c r="Q18" s="162"/>
      <c r="R18" s="162"/>
      <c r="S18" s="163"/>
      <c r="T18" s="162"/>
      <c r="U18" s="162"/>
      <c r="V18" s="181"/>
      <c r="W18" s="162"/>
      <c r="X18" s="164"/>
      <c r="Y18" s="133"/>
      <c r="AD18" s="140">
        <f>AC16/AD16</f>
        <v>507.8125</v>
      </c>
      <c r="AE18" s="117" t="s">
        <v>257</v>
      </c>
      <c r="AF18" s="260">
        <f>AF16*AD18</f>
        <v>426.5625</v>
      </c>
      <c r="AH18" s="260">
        <f>AH19-AH20</f>
        <v>4.265625</v>
      </c>
      <c r="AI18" s="117" t="s">
        <v>264</v>
      </c>
      <c r="AL18" s="263"/>
      <c r="AO18" s="263">
        <f>SUM(AO5:AO16)</f>
        <v>13490</v>
      </c>
    </row>
    <row r="19" spans="1:41" ht="16.05" customHeight="1" thickTop="1" thickBot="1" x14ac:dyDescent="0.35">
      <c r="A19" s="150"/>
      <c r="B19" s="487">
        <f>_xlfn.ISOWEEKNUM(D19)</f>
        <v>37</v>
      </c>
      <c r="C19" s="206" t="s">
        <v>99</v>
      </c>
      <c r="D19" s="207">
        <v>44452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2</v>
      </c>
      <c r="O19" s="213" t="s">
        <v>216</v>
      </c>
      <c r="P19" s="214">
        <v>8.5</v>
      </c>
      <c r="Q19" s="214"/>
      <c r="R19" s="214"/>
      <c r="S19" s="217"/>
      <c r="T19" s="214"/>
      <c r="U19" s="217"/>
      <c r="V19" s="215"/>
      <c r="W19" s="214"/>
      <c r="X19" s="216"/>
      <c r="Y19" s="133"/>
      <c r="AE19" s="258"/>
      <c r="AH19" s="260">
        <f>AF18-AC16</f>
        <v>-223.4375</v>
      </c>
      <c r="AI19" s="117" t="s">
        <v>262</v>
      </c>
      <c r="AL19" s="263">
        <f>SUM(AL5:AL16)</f>
        <v>10240</v>
      </c>
      <c r="AO19" s="263">
        <f>SUM(AO5:AO16)</f>
        <v>13490</v>
      </c>
    </row>
    <row r="20" spans="1:41" ht="16.05" customHeight="1" thickTop="1" thickBot="1" x14ac:dyDescent="0.35">
      <c r="A20" s="150"/>
      <c r="B20" s="487"/>
      <c r="C20" s="125" t="s">
        <v>93</v>
      </c>
      <c r="D20" s="126">
        <v>44453</v>
      </c>
      <c r="E20" s="127">
        <v>0.33333333333333331</v>
      </c>
      <c r="F20" s="127">
        <v>0.51041666666666663</v>
      </c>
      <c r="G20" s="227">
        <f t="shared" si="2"/>
        <v>4.25</v>
      </c>
      <c r="H20" s="127">
        <v>0.55208333333333337</v>
      </c>
      <c r="I20" s="127">
        <v>0.71875</v>
      </c>
      <c r="J20" s="227">
        <f t="shared" si="3"/>
        <v>3.9999999999999991</v>
      </c>
      <c r="K20" s="115">
        <v>8.5</v>
      </c>
      <c r="L20" s="147">
        <f t="shared" si="0"/>
        <v>8.2499999999999964</v>
      </c>
      <c r="M20" s="205"/>
      <c r="N20" s="250">
        <f t="shared" si="1"/>
        <v>1.7499999999999964</v>
      </c>
      <c r="O20" s="159" t="s">
        <v>5</v>
      </c>
      <c r="P20" s="157">
        <v>8.25</v>
      </c>
      <c r="Q20" s="157"/>
      <c r="R20" s="157"/>
      <c r="S20" s="157"/>
      <c r="T20" s="157" t="s">
        <v>274</v>
      </c>
      <c r="U20" s="157"/>
      <c r="V20" s="180"/>
      <c r="W20" s="157"/>
      <c r="X20" s="158"/>
      <c r="Y20" s="133"/>
      <c r="AD20" s="140">
        <f>AC16/AD16</f>
        <v>507.8125</v>
      </c>
      <c r="AE20" s="117" t="s">
        <v>268</v>
      </c>
      <c r="AF20" s="260">
        <f>AF16*AD20</f>
        <v>426.5625</v>
      </c>
      <c r="AG20" s="259">
        <f>AH20/AC16</f>
        <v>-0.35031250000000003</v>
      </c>
      <c r="AH20" s="261">
        <f>IF(AH17&gt;1,AH19-AH17,AH19-1)</f>
        <v>-227.703125</v>
      </c>
      <c r="AI20" s="117" t="s">
        <v>263</v>
      </c>
    </row>
    <row r="21" spans="1:41" ht="16.05" customHeight="1" thickTop="1" thickBot="1" x14ac:dyDescent="0.35">
      <c r="A21" s="150"/>
      <c r="B21" s="487"/>
      <c r="C21" s="206" t="s">
        <v>94</v>
      </c>
      <c r="D21" s="207">
        <v>44454</v>
      </c>
      <c r="E21" s="208">
        <v>0.33333333333333331</v>
      </c>
      <c r="F21" s="208">
        <v>0.51041666666666663</v>
      </c>
      <c r="G21" s="132">
        <f t="shared" si="2"/>
        <v>4.25</v>
      </c>
      <c r="H21" s="208">
        <v>0.55208333333333337</v>
      </c>
      <c r="I21" s="208">
        <v>0.76041666666666663</v>
      </c>
      <c r="J21" s="132">
        <f t="shared" si="3"/>
        <v>4.9999999999999982</v>
      </c>
      <c r="K21" s="209">
        <v>8.5</v>
      </c>
      <c r="L21" s="210">
        <f t="shared" si="0"/>
        <v>9.25</v>
      </c>
      <c r="M21" s="211"/>
      <c r="N21" s="249">
        <f t="shared" si="1"/>
        <v>2.4999999999999964</v>
      </c>
      <c r="O21" s="213" t="s">
        <v>5</v>
      </c>
      <c r="P21" s="214">
        <v>4.25</v>
      </c>
      <c r="Q21" s="214" t="s">
        <v>250</v>
      </c>
      <c r="R21" s="214">
        <v>5</v>
      </c>
      <c r="S21" s="214"/>
      <c r="T21" s="214" t="s">
        <v>275</v>
      </c>
      <c r="U21" s="214"/>
      <c r="V21" s="215"/>
      <c r="W21" s="214"/>
      <c r="X21" s="216"/>
      <c r="Y21" s="133"/>
      <c r="AK21" s="117">
        <v>2023</v>
      </c>
    </row>
    <row r="22" spans="1:41" ht="16.05" customHeight="1" thickTop="1" thickBot="1" x14ac:dyDescent="0.35">
      <c r="A22" s="150"/>
      <c r="B22" s="487"/>
      <c r="C22" s="125" t="s">
        <v>95</v>
      </c>
      <c r="D22" s="126">
        <v>44455</v>
      </c>
      <c r="E22" s="127">
        <v>0.35416666666666669</v>
      </c>
      <c r="F22" s="127">
        <v>0.51041666666666663</v>
      </c>
      <c r="G22" s="227">
        <f t="shared" si="2"/>
        <v>3.7499999999999987</v>
      </c>
      <c r="H22" s="127">
        <v>0.55208333333333337</v>
      </c>
      <c r="I22" s="127">
        <v>0.72916666666666663</v>
      </c>
      <c r="J22" s="227">
        <f t="shared" si="3"/>
        <v>4.2499999999999982</v>
      </c>
      <c r="K22" s="115">
        <v>8.5</v>
      </c>
      <c r="L22" s="147">
        <f t="shared" si="0"/>
        <v>7.9999999999999956</v>
      </c>
      <c r="M22" s="205"/>
      <c r="N22" s="250">
        <f t="shared" si="1"/>
        <v>1.999999999999992</v>
      </c>
      <c r="O22" s="159" t="s">
        <v>250</v>
      </c>
      <c r="P22" s="157">
        <v>8</v>
      </c>
      <c r="Q22" s="157"/>
      <c r="R22" s="157"/>
      <c r="S22" s="157"/>
      <c r="T22" s="157" t="s">
        <v>276</v>
      </c>
      <c r="U22" s="157"/>
      <c r="V22" s="180"/>
      <c r="W22" s="157"/>
      <c r="X22" s="158"/>
      <c r="Y22" s="133"/>
      <c r="AK22" s="138"/>
      <c r="AN22" s="264">
        <f>AL19+AO19+AL36</f>
        <v>41730</v>
      </c>
    </row>
    <row r="23" spans="1:41" ht="16.05" customHeight="1" thickTop="1" thickBot="1" x14ac:dyDescent="0.35">
      <c r="A23" s="150"/>
      <c r="B23" s="487"/>
      <c r="C23" s="206" t="s">
        <v>96</v>
      </c>
      <c r="D23" s="207">
        <v>44456</v>
      </c>
      <c r="E23" s="208">
        <v>0.34375</v>
      </c>
      <c r="F23" s="208">
        <v>0.51041666666666663</v>
      </c>
      <c r="G23" s="132">
        <f t="shared" si="2"/>
        <v>3.9999999999999991</v>
      </c>
      <c r="H23" s="208">
        <v>0.54166666666666663</v>
      </c>
      <c r="I23" s="208">
        <v>0.70833333333333337</v>
      </c>
      <c r="J23" s="132">
        <f t="shared" si="3"/>
        <v>4.0000000000000018</v>
      </c>
      <c r="K23" s="209">
        <v>8</v>
      </c>
      <c r="L23" s="210">
        <f t="shared" si="0"/>
        <v>8</v>
      </c>
      <c r="M23" s="211"/>
      <c r="N23" s="249">
        <f t="shared" si="1"/>
        <v>1.999999999999992</v>
      </c>
      <c r="O23" s="213" t="s">
        <v>250</v>
      </c>
      <c r="P23" s="214">
        <v>6</v>
      </c>
      <c r="Q23" s="214" t="s">
        <v>266</v>
      </c>
      <c r="R23" s="214">
        <v>2</v>
      </c>
      <c r="S23" s="214"/>
      <c r="T23" s="214"/>
      <c r="U23" s="214"/>
      <c r="V23" s="215"/>
      <c r="W23" s="214"/>
      <c r="X23" s="216"/>
      <c r="Y23" s="133"/>
      <c r="AC23" s="117" t="s">
        <v>259</v>
      </c>
      <c r="AD23" s="117" t="s">
        <v>258</v>
      </c>
      <c r="AF23" s="117" t="s">
        <v>260</v>
      </c>
      <c r="AH23" s="117" t="s">
        <v>240</v>
      </c>
      <c r="AK23" s="138" t="s">
        <v>280</v>
      </c>
      <c r="AL23" s="263">
        <v>1300</v>
      </c>
      <c r="AN23" s="262">
        <f>36*400</f>
        <v>14400</v>
      </c>
    </row>
    <row r="24" spans="1:41" ht="1.35" customHeight="1" thickTop="1" thickBot="1" x14ac:dyDescent="0.35">
      <c r="A24" s="150"/>
      <c r="B24" s="185"/>
      <c r="C24" s="143" t="s">
        <v>97</v>
      </c>
      <c r="D24" s="126">
        <v>44457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1.999999999999992</v>
      </c>
      <c r="O24" s="161"/>
      <c r="P24" s="162"/>
      <c r="Q24" s="162"/>
      <c r="R24" s="162"/>
      <c r="S24" s="162"/>
      <c r="T24" s="162"/>
      <c r="U24" s="162"/>
      <c r="V24" s="181"/>
      <c r="W24" s="162"/>
      <c r="X24" s="164"/>
      <c r="Y24" s="133"/>
      <c r="AK24" s="138" t="s">
        <v>281</v>
      </c>
      <c r="AL24" s="263">
        <v>1300</v>
      </c>
    </row>
    <row r="25" spans="1:41" ht="1.35" customHeight="1" thickTop="1" thickBot="1" x14ac:dyDescent="0.35">
      <c r="A25" s="150"/>
      <c r="B25" s="185"/>
      <c r="C25" s="143" t="s">
        <v>98</v>
      </c>
      <c r="D25" s="126">
        <v>44458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1.999999999999992</v>
      </c>
      <c r="O25" s="161"/>
      <c r="P25" s="162"/>
      <c r="Q25" s="162"/>
      <c r="R25" s="162"/>
      <c r="S25" s="162"/>
      <c r="T25" s="162"/>
      <c r="U25" s="162"/>
      <c r="V25" s="181"/>
      <c r="W25" s="162"/>
      <c r="X25" s="164"/>
      <c r="Y25" s="133"/>
      <c r="AK25" s="138" t="s">
        <v>282</v>
      </c>
      <c r="AL25" s="263">
        <v>1300</v>
      </c>
    </row>
    <row r="26" spans="1:41" ht="16.05" customHeight="1" thickTop="1" thickBot="1" x14ac:dyDescent="0.35">
      <c r="A26" s="150"/>
      <c r="B26" s="487">
        <f>_xlfn.ISOWEEKNUM(D26)</f>
        <v>38</v>
      </c>
      <c r="C26" s="125" t="s">
        <v>99</v>
      </c>
      <c r="D26" s="126">
        <v>44459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1.999999999999992</v>
      </c>
      <c r="O26" s="159" t="s">
        <v>216</v>
      </c>
      <c r="P26" s="157">
        <v>8.5</v>
      </c>
      <c r="Q26" s="157"/>
      <c r="R26" s="157"/>
      <c r="S26" s="157"/>
      <c r="T26" s="157"/>
      <c r="U26" s="157"/>
      <c r="V26" s="180"/>
      <c r="W26" s="157"/>
      <c r="X26" s="158"/>
      <c r="Y26" s="133"/>
      <c r="AC26" s="260">
        <v>350</v>
      </c>
      <c r="AD26" s="260">
        <v>0.91349999999999998</v>
      </c>
      <c r="AF26" s="260">
        <v>1.2</v>
      </c>
      <c r="AH26" s="259">
        <v>0.01</v>
      </c>
      <c r="AI26" s="117" t="s">
        <v>261</v>
      </c>
      <c r="AK26" s="138" t="s">
        <v>283</v>
      </c>
      <c r="AL26" s="263">
        <v>1300</v>
      </c>
      <c r="AN26" s="262">
        <f>AN22-AN23</f>
        <v>27330</v>
      </c>
    </row>
    <row r="27" spans="1:41" ht="16.05" customHeight="1" thickTop="1" thickBot="1" x14ac:dyDescent="0.35">
      <c r="A27" s="150"/>
      <c r="B27" s="487"/>
      <c r="C27" s="206" t="s">
        <v>93</v>
      </c>
      <c r="D27" s="207">
        <v>44460</v>
      </c>
      <c r="E27" s="208">
        <v>0.34375</v>
      </c>
      <c r="F27" s="208">
        <v>0.51041666666666663</v>
      </c>
      <c r="G27" s="132">
        <f t="shared" si="2"/>
        <v>3.9999999999999991</v>
      </c>
      <c r="H27" s="208">
        <v>0.54166666666666663</v>
      </c>
      <c r="I27" s="208">
        <v>0.72916666666666663</v>
      </c>
      <c r="J27" s="132">
        <f t="shared" si="3"/>
        <v>4.5</v>
      </c>
      <c r="K27" s="209">
        <v>8.5</v>
      </c>
      <c r="L27" s="210">
        <f t="shared" si="0"/>
        <v>8.5</v>
      </c>
      <c r="M27" s="211"/>
      <c r="N27" s="249">
        <f t="shared" si="1"/>
        <v>1.999999999999992</v>
      </c>
      <c r="O27" s="213" t="s">
        <v>248</v>
      </c>
      <c r="P27" s="214">
        <v>4.5</v>
      </c>
      <c r="Q27" s="214" t="s">
        <v>250</v>
      </c>
      <c r="R27" s="214">
        <v>4</v>
      </c>
      <c r="S27" s="214"/>
      <c r="T27" s="214"/>
      <c r="U27" s="214"/>
      <c r="V27" s="215"/>
      <c r="W27" s="214"/>
      <c r="X27" s="216"/>
      <c r="Y27" s="121"/>
      <c r="AC27" s="257"/>
      <c r="AH27" s="260">
        <f>AF28*AH26</f>
        <v>4.5977011494252871</v>
      </c>
      <c r="AK27" s="138" t="s">
        <v>284</v>
      </c>
      <c r="AL27" s="263">
        <v>1300</v>
      </c>
    </row>
    <row r="28" spans="1:41" ht="16.05" customHeight="1" thickTop="1" thickBot="1" x14ac:dyDescent="0.35">
      <c r="A28" s="150"/>
      <c r="B28" s="487"/>
      <c r="C28" s="125" t="s">
        <v>94</v>
      </c>
      <c r="D28" s="126">
        <v>44461</v>
      </c>
      <c r="E28" s="127">
        <v>0.34375</v>
      </c>
      <c r="F28" s="127">
        <v>0.51041666666666663</v>
      </c>
      <c r="G28" s="227">
        <f t="shared" si="2"/>
        <v>3.9999999999999991</v>
      </c>
      <c r="H28" s="127">
        <v>0.55208333333333337</v>
      </c>
      <c r="I28" s="127">
        <v>0.76041666666666663</v>
      </c>
      <c r="J28" s="227">
        <f t="shared" si="3"/>
        <v>4.9999999999999982</v>
      </c>
      <c r="K28" s="115">
        <v>8.5</v>
      </c>
      <c r="L28" s="147">
        <f t="shared" si="0"/>
        <v>8.9999999999999964</v>
      </c>
      <c r="M28" s="205"/>
      <c r="N28" s="250">
        <f t="shared" si="1"/>
        <v>2.4999999999999885</v>
      </c>
      <c r="O28" s="159" t="s">
        <v>248</v>
      </c>
      <c r="P28" s="157">
        <v>5</v>
      </c>
      <c r="Q28" s="157" t="s">
        <v>250</v>
      </c>
      <c r="R28" s="157">
        <v>4</v>
      </c>
      <c r="S28" s="157"/>
      <c r="T28" s="157"/>
      <c r="U28" s="157"/>
      <c r="V28" s="180"/>
      <c r="W28" s="157"/>
      <c r="X28" s="158"/>
      <c r="Y28" s="121"/>
      <c r="AD28" s="140">
        <f>AC26/AD26</f>
        <v>383.14176245210729</v>
      </c>
      <c r="AE28" s="117" t="s">
        <v>268</v>
      </c>
      <c r="AF28" s="260">
        <f>AF26*AD28</f>
        <v>459.77011494252872</v>
      </c>
      <c r="AH28" s="260">
        <f>AH29-AH30</f>
        <v>4.5977011494252906</v>
      </c>
      <c r="AI28" s="117" t="s">
        <v>264</v>
      </c>
      <c r="AK28" s="138" t="s">
        <v>285</v>
      </c>
      <c r="AL28" s="263">
        <v>1300</v>
      </c>
    </row>
    <row r="29" spans="1:41" ht="16.05" customHeight="1" thickTop="1" thickBot="1" x14ac:dyDescent="0.35">
      <c r="A29" s="150"/>
      <c r="B29" s="487"/>
      <c r="C29" s="206" t="s">
        <v>95</v>
      </c>
      <c r="D29" s="207">
        <v>44462</v>
      </c>
      <c r="E29" s="208">
        <v>0.34375</v>
      </c>
      <c r="F29" s="208">
        <v>0.51041666666666663</v>
      </c>
      <c r="G29" s="132">
        <f t="shared" si="2"/>
        <v>3.9999999999999991</v>
      </c>
      <c r="H29" s="208">
        <v>0.54166666666666663</v>
      </c>
      <c r="I29" s="208">
        <v>0.70833333333333337</v>
      </c>
      <c r="J29" s="132">
        <f t="shared" si="3"/>
        <v>4.0000000000000018</v>
      </c>
      <c r="K29" s="209">
        <v>8.5</v>
      </c>
      <c r="L29" s="210">
        <f t="shared" si="0"/>
        <v>8</v>
      </c>
      <c r="M29" s="211"/>
      <c r="N29" s="249">
        <f t="shared" si="1"/>
        <v>1.9999999999999885</v>
      </c>
      <c r="O29" s="213" t="s">
        <v>248</v>
      </c>
      <c r="P29" s="214">
        <v>4</v>
      </c>
      <c r="Q29" s="214" t="s">
        <v>72</v>
      </c>
      <c r="R29" s="214">
        <v>4</v>
      </c>
      <c r="S29" s="214"/>
      <c r="T29" s="214"/>
      <c r="U29" s="214"/>
      <c r="V29" s="215"/>
      <c r="W29" s="214"/>
      <c r="X29" s="216"/>
      <c r="Y29" s="121"/>
      <c r="AE29" s="258"/>
      <c r="AH29" s="260">
        <f>AF28-AC26</f>
        <v>109.77011494252872</v>
      </c>
      <c r="AI29" s="117" t="s">
        <v>262</v>
      </c>
      <c r="AK29" s="138" t="s">
        <v>286</v>
      </c>
      <c r="AL29" s="263">
        <v>1300</v>
      </c>
    </row>
    <row r="30" spans="1:41" ht="16.05" customHeight="1" thickTop="1" thickBot="1" x14ac:dyDescent="0.35">
      <c r="A30" s="150"/>
      <c r="B30" s="487"/>
      <c r="C30" s="125" t="s">
        <v>96</v>
      </c>
      <c r="D30" s="126">
        <v>44463</v>
      </c>
      <c r="E30" s="127">
        <v>0.34375</v>
      </c>
      <c r="F30" s="127">
        <v>0.51041666666666663</v>
      </c>
      <c r="G30" s="227">
        <f t="shared" si="2"/>
        <v>3.9999999999999991</v>
      </c>
      <c r="H30" s="127">
        <v>0.54166666666666663</v>
      </c>
      <c r="I30" s="127">
        <v>0.75</v>
      </c>
      <c r="J30" s="227">
        <f t="shared" si="3"/>
        <v>5.0000000000000009</v>
      </c>
      <c r="K30" s="115">
        <v>8</v>
      </c>
      <c r="L30" s="147">
        <f t="shared" si="0"/>
        <v>9</v>
      </c>
      <c r="M30" s="205"/>
      <c r="N30" s="250">
        <f t="shared" si="1"/>
        <v>2.9999999999999885</v>
      </c>
      <c r="O30" s="159" t="s">
        <v>248</v>
      </c>
      <c r="P30" s="157">
        <v>7</v>
      </c>
      <c r="Q30" s="157" t="s">
        <v>171</v>
      </c>
      <c r="R30" s="157">
        <v>2</v>
      </c>
      <c r="S30" s="157"/>
      <c r="T30" s="157"/>
      <c r="U30" s="157"/>
      <c r="V30" s="180"/>
      <c r="W30" s="157"/>
      <c r="X30" s="158"/>
      <c r="Y30" s="121"/>
      <c r="AG30" s="259">
        <f>AH30/AC26</f>
        <v>0.30049261083743839</v>
      </c>
      <c r="AH30" s="261">
        <f>IF(AH27&gt;1,AH29-AH27,AH29-1)</f>
        <v>105.17241379310343</v>
      </c>
      <c r="AI30" s="117" t="s">
        <v>263</v>
      </c>
      <c r="AK30" s="138" t="s">
        <v>287</v>
      </c>
      <c r="AL30" s="263">
        <v>1500</v>
      </c>
    </row>
    <row r="31" spans="1:41" ht="1.35" customHeight="1" thickTop="1" thickBot="1" x14ac:dyDescent="0.35">
      <c r="A31" s="150"/>
      <c r="B31" s="185"/>
      <c r="C31" s="143" t="s">
        <v>97</v>
      </c>
      <c r="D31" s="126">
        <v>44464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2.9999999999999885</v>
      </c>
      <c r="O31" s="161"/>
      <c r="P31" s="162"/>
      <c r="Q31" s="162"/>
      <c r="R31" s="162"/>
      <c r="S31" s="162"/>
      <c r="T31" s="162"/>
      <c r="U31" s="162"/>
      <c r="V31" s="181"/>
      <c r="W31" s="162"/>
      <c r="X31" s="164"/>
      <c r="Y31" s="121"/>
      <c r="AK31" s="138" t="s">
        <v>288</v>
      </c>
      <c r="AL31" s="263">
        <v>1850</v>
      </c>
    </row>
    <row r="32" spans="1:41" ht="1.35" customHeight="1" thickTop="1" thickBot="1" x14ac:dyDescent="0.35">
      <c r="A32" s="150"/>
      <c r="B32" s="185"/>
      <c r="C32" s="143" t="s">
        <v>98</v>
      </c>
      <c r="D32" s="126">
        <v>44465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2.9999999999999885</v>
      </c>
      <c r="O32" s="161"/>
      <c r="P32" s="162"/>
      <c r="Q32" s="162"/>
      <c r="R32" s="162"/>
      <c r="S32" s="162"/>
      <c r="T32" s="162"/>
      <c r="U32" s="162"/>
      <c r="V32" s="181"/>
      <c r="W32" s="162"/>
      <c r="X32" s="164"/>
      <c r="Y32" s="121"/>
      <c r="AK32" s="138" t="s">
        <v>289</v>
      </c>
      <c r="AL32" s="263">
        <v>1850</v>
      </c>
    </row>
    <row r="33" spans="1:38" ht="16.05" customHeight="1" thickTop="1" thickBot="1" x14ac:dyDescent="0.35">
      <c r="A33" s="150"/>
      <c r="B33" s="487">
        <f>_xlfn.ISOWEEKNUM(D33)</f>
        <v>39</v>
      </c>
      <c r="C33" s="206" t="s">
        <v>99</v>
      </c>
      <c r="D33" s="207">
        <v>44466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2.9999999999999885</v>
      </c>
      <c r="O33" s="213" t="s">
        <v>216</v>
      </c>
      <c r="P33" s="214">
        <v>8.5</v>
      </c>
      <c r="Q33" s="214"/>
      <c r="R33" s="214"/>
      <c r="S33" s="214"/>
      <c r="T33" s="214"/>
      <c r="U33" s="214"/>
      <c r="V33" s="215"/>
      <c r="W33" s="214"/>
      <c r="X33" s="216"/>
      <c r="Y33" s="121"/>
      <c r="AK33" s="138" t="s">
        <v>290</v>
      </c>
      <c r="AL33" s="263">
        <v>1850</v>
      </c>
    </row>
    <row r="34" spans="1:38" ht="16.05" customHeight="1" thickTop="1" thickBot="1" x14ac:dyDescent="0.35">
      <c r="A34" s="150"/>
      <c r="B34" s="487"/>
      <c r="C34" s="125" t="s">
        <v>93</v>
      </c>
      <c r="D34" s="126">
        <v>44467</v>
      </c>
      <c r="E34" s="127">
        <v>0.35416666666666669</v>
      </c>
      <c r="F34" s="127">
        <v>0.51041666666666663</v>
      </c>
      <c r="G34" s="227">
        <f t="shared" si="2"/>
        <v>3.7499999999999987</v>
      </c>
      <c r="H34" s="127">
        <v>0.55208333333333337</v>
      </c>
      <c r="I34" s="127">
        <v>0.72916666666666663</v>
      </c>
      <c r="J34" s="227">
        <f t="shared" si="3"/>
        <v>4.2499999999999982</v>
      </c>
      <c r="K34" s="115">
        <v>8.5</v>
      </c>
      <c r="L34" s="147">
        <f t="shared" si="0"/>
        <v>7.9999999999999956</v>
      </c>
      <c r="M34" s="205"/>
      <c r="N34" s="250">
        <f t="shared" si="1"/>
        <v>2.499999999999984</v>
      </c>
      <c r="O34" s="159" t="s">
        <v>80</v>
      </c>
      <c r="P34" s="157">
        <v>4</v>
      </c>
      <c r="Q34" s="157" t="s">
        <v>250</v>
      </c>
      <c r="R34" s="157">
        <v>4</v>
      </c>
      <c r="S34" s="157"/>
      <c r="T34" s="157" t="s">
        <v>292</v>
      </c>
      <c r="U34" s="157"/>
      <c r="V34" s="180"/>
      <c r="W34" s="157"/>
      <c r="X34" s="158"/>
      <c r="Y34" s="121"/>
      <c r="AH34" s="260">
        <f>AH20+AH30</f>
        <v>-122.53071120689657</v>
      </c>
      <c r="AK34" s="138" t="s">
        <v>291</v>
      </c>
      <c r="AL34" s="263">
        <v>1850</v>
      </c>
    </row>
    <row r="35" spans="1:38" ht="16.05" customHeight="1" thickTop="1" thickBot="1" x14ac:dyDescent="0.35">
      <c r="A35" s="150"/>
      <c r="B35" s="487"/>
      <c r="C35" s="206" t="s">
        <v>94</v>
      </c>
      <c r="D35" s="207">
        <v>44468</v>
      </c>
      <c r="E35" s="220">
        <v>0.35416666666666669</v>
      </c>
      <c r="F35" s="220">
        <v>0.51041666666666663</v>
      </c>
      <c r="G35" s="228">
        <f>(F35-E35)*24</f>
        <v>3.7499999999999987</v>
      </c>
      <c r="H35" s="220">
        <v>0.54166666666666663</v>
      </c>
      <c r="I35" s="220">
        <v>0.75</v>
      </c>
      <c r="J35" s="228">
        <f>(I35-H35)*24</f>
        <v>5.0000000000000009</v>
      </c>
      <c r="K35" s="221">
        <v>8.5</v>
      </c>
      <c r="L35" s="210">
        <f>(F35-E35+I35-H35)*24</f>
        <v>8.75</v>
      </c>
      <c r="M35" s="211"/>
      <c r="N35" s="249">
        <f>IF(L35&gt;0,(L35-K35)+N34,+N34)</f>
        <v>2.749999999999984</v>
      </c>
      <c r="O35" s="223" t="s">
        <v>80</v>
      </c>
      <c r="P35" s="224">
        <v>8.75</v>
      </c>
      <c r="Q35" s="224"/>
      <c r="R35" s="224"/>
      <c r="S35" s="224"/>
      <c r="T35" s="224"/>
      <c r="U35" s="224"/>
      <c r="V35" s="225"/>
      <c r="W35" s="224"/>
      <c r="X35" s="226"/>
      <c r="Y35" s="121"/>
      <c r="AL35" s="263"/>
    </row>
    <row r="36" spans="1:38" ht="16.350000000000001" customHeight="1" thickTop="1" thickBot="1" x14ac:dyDescent="0.35">
      <c r="A36" s="150"/>
      <c r="B36" s="487"/>
      <c r="C36" s="125" t="s">
        <v>13</v>
      </c>
      <c r="D36" s="126">
        <v>44469</v>
      </c>
      <c r="E36" s="127">
        <v>0.35416666666666669</v>
      </c>
      <c r="F36" s="127">
        <v>0.51041666666666663</v>
      </c>
      <c r="G36" s="227">
        <f t="shared" ref="G36" si="4">(F36-E36)*24</f>
        <v>3.7499999999999987</v>
      </c>
      <c r="H36" s="127">
        <v>0.55208333333333337</v>
      </c>
      <c r="I36" s="127">
        <v>0.72916666666666663</v>
      </c>
      <c r="J36" s="227">
        <f t="shared" ref="J36" si="5">(I36-H36)*24</f>
        <v>4.2499999999999982</v>
      </c>
      <c r="K36" s="115">
        <v>8.5</v>
      </c>
      <c r="L36" s="147">
        <f t="shared" ref="L36:L37" si="6">(F36-E36+I36-H36)*24</f>
        <v>7.9999999999999956</v>
      </c>
      <c r="M36" s="205"/>
      <c r="N36" s="250">
        <f>IF(L36&gt;0,(L36-K36)+N35,+N35)</f>
        <v>2.2499999999999796</v>
      </c>
      <c r="O36" s="240" t="s">
        <v>72</v>
      </c>
      <c r="P36" s="241">
        <v>3.75</v>
      </c>
      <c r="Q36" s="241" t="s">
        <v>293</v>
      </c>
      <c r="R36" s="241">
        <v>4.25</v>
      </c>
      <c r="S36" s="241"/>
      <c r="T36" s="241" t="s">
        <v>294</v>
      </c>
      <c r="U36" s="241"/>
      <c r="V36" s="242"/>
      <c r="W36" s="241"/>
      <c r="X36" s="243"/>
      <c r="Y36" s="121"/>
      <c r="AL36" s="263">
        <f>SUM(AL23:AL34)</f>
        <v>18000</v>
      </c>
    </row>
    <row r="37" spans="1:38" ht="16.350000000000001" customHeight="1" thickTop="1" thickBot="1" x14ac:dyDescent="0.35">
      <c r="B37" s="244"/>
      <c r="C37" s="206" t="s">
        <v>14</v>
      </c>
      <c r="D37" s="207">
        <v>44470</v>
      </c>
      <c r="E37" s="220">
        <v>0.35416666666666669</v>
      </c>
      <c r="F37" s="220">
        <v>0.5</v>
      </c>
      <c r="G37" s="228">
        <f>(F37-E37)*24</f>
        <v>3.4999999999999996</v>
      </c>
      <c r="H37" s="220">
        <v>0.55208333333333337</v>
      </c>
      <c r="I37" s="220">
        <v>0.73958333333333337</v>
      </c>
      <c r="J37" s="228">
        <f>(I37-H37)*24</f>
        <v>4.5</v>
      </c>
      <c r="K37" s="221">
        <v>8</v>
      </c>
      <c r="L37" s="147">
        <f t="shared" si="6"/>
        <v>8</v>
      </c>
      <c r="M37" s="222"/>
      <c r="N37" s="249">
        <f>IF(L37&gt;0,(L37-K37)+N36,+N36)</f>
        <v>2.2499999999999796</v>
      </c>
      <c r="O37" s="223" t="s">
        <v>171</v>
      </c>
      <c r="P37" s="224">
        <v>8</v>
      </c>
      <c r="Q37" s="224"/>
      <c r="R37" s="224"/>
      <c r="S37" s="224"/>
      <c r="T37" s="224"/>
      <c r="U37" s="224"/>
      <c r="V37" s="225"/>
      <c r="W37" s="224"/>
      <c r="X37" s="226"/>
      <c r="Y37" s="121"/>
      <c r="AL37" s="263"/>
    </row>
    <row r="38" spans="1:38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</row>
    <row r="39" spans="1:38" ht="15" thickTop="1" thickBot="1" x14ac:dyDescent="0.3">
      <c r="C39" s="138"/>
      <c r="P39" s="139"/>
      <c r="Q39" s="140"/>
      <c r="U39" s="176" t="s">
        <v>269</v>
      </c>
      <c r="V39" s="117" t="s">
        <v>139</v>
      </c>
    </row>
    <row r="40" spans="1:38" ht="16.8" thickTop="1" thickBot="1" x14ac:dyDescent="0.35">
      <c r="C40" s="491" t="s">
        <v>225</v>
      </c>
      <c r="D40" s="519"/>
      <c r="E40" s="499">
        <f>SUM(E41:E50)</f>
        <v>120</v>
      </c>
      <c r="F40" s="500"/>
      <c r="L40" s="176">
        <f>L5+L6+L7+L8+L9+L12+L13+L14+L15+L16+L19+L20+L21+L22+L23+L26+L27+L28+L29+L30+L33+L34+L35+L36</f>
        <v>170.75</v>
      </c>
      <c r="P40" s="280">
        <f>P36+P35+P34+P33+P30+P29+P28+P27+P26+P23+P22+P21+P20+P19+P16+P15+P14+P13+P12+P9+P8+P7+P6+P5+R5+R6+R7+R8+R9+R12+R13+R14+R15+R16+R19+R20+R21+R22+R23+R26+R27+R28+R29+R30+R33+R34+R35+R36</f>
        <v>170.75</v>
      </c>
      <c r="Q40" s="138"/>
      <c r="U40" s="176" t="s">
        <v>269</v>
      </c>
      <c r="V40" s="117" t="s">
        <v>277</v>
      </c>
    </row>
    <row r="41" spans="1:38" ht="14.4" thickTop="1" x14ac:dyDescent="0.25">
      <c r="C41" s="520" t="s">
        <v>227</v>
      </c>
      <c r="D41" s="521"/>
      <c r="E41" s="530">
        <f>SUMIF(O4:O34,"Clair*",P4:P34)+SUMIF(Q4:Q34,"Clair*",R4:R34)+SUMIF(S4:S34,"Clair*",T4:T34)</f>
        <v>26.5</v>
      </c>
      <c r="F41" s="531"/>
      <c r="P41" s="139"/>
      <c r="S41" s="141"/>
      <c r="U41" s="176" t="s">
        <v>272</v>
      </c>
      <c r="V41" s="117" t="s">
        <v>278</v>
      </c>
    </row>
    <row r="42" spans="1:38" x14ac:dyDescent="0.25">
      <c r="C42" s="495" t="s">
        <v>103</v>
      </c>
      <c r="D42" s="496"/>
      <c r="E42" s="509">
        <f>SUMIF(O6:O38,"=Vac*",P6:P38)+SUMIF(Q6:Q38,"=Vac*",R6:R38)+SUMIF(S6:S38,"=Vac*",T6:T38)</f>
        <v>0</v>
      </c>
      <c r="F42" s="510"/>
      <c r="P42" s="139"/>
      <c r="Q42" s="140"/>
      <c r="U42" s="176">
        <v>0</v>
      </c>
      <c r="V42" s="117" t="s">
        <v>279</v>
      </c>
    </row>
    <row r="43" spans="1:38" x14ac:dyDescent="0.25">
      <c r="C43" s="493" t="s">
        <v>226</v>
      </c>
      <c r="D43" s="494"/>
      <c r="E43" s="505">
        <f>SUMIF(O5:O35,"=3607B65",P5:P35)+SUMIF(Q5:Q35,"=3607B65",R5:R35)+SUMIF(S5:S35,"=3607B65",T5:T35)+SUMIF(U5:U35,"=3607B65",V5:V35)</f>
        <v>0</v>
      </c>
      <c r="F43" s="506"/>
      <c r="Q43" s="138"/>
    </row>
    <row r="44" spans="1:38" x14ac:dyDescent="0.25">
      <c r="C44" s="493" t="s">
        <v>245</v>
      </c>
      <c r="D44" s="494"/>
      <c r="E44" s="505">
        <f>SUMIF(O2:O32,"=ONE ROOF",P2:P32)+SUMIF(Q2:Q32,"=ONE ROOF",R2:R32)+SUMIF(S2:S32,"=ONE ROOF",T2:T32)+SUMIF(U2:U32,"=ONE ROOF",V2:V32)</f>
        <v>0</v>
      </c>
      <c r="F44" s="506"/>
    </row>
    <row r="45" spans="1:38" x14ac:dyDescent="0.25">
      <c r="C45" s="493" t="s">
        <v>237</v>
      </c>
      <c r="D45" s="494"/>
      <c r="E45" s="505">
        <f>SUMIF(O5:O35,"12127A01",P5:P35)+SUMIF(Q5:Q35,"12127A01",R5:R35)+SUMIF(S5:S35,"12127A01",T5:T35)</f>
        <v>0</v>
      </c>
      <c r="F45" s="506"/>
    </row>
    <row r="46" spans="1:38" x14ac:dyDescent="0.25">
      <c r="C46" s="493" t="s">
        <v>112</v>
      </c>
      <c r="D46" s="494"/>
      <c r="E46" s="505">
        <f>SUMIF(O7:O39,"12067A02",P7:P39)+SUMIF(Q7:Q39,"12067A02",R7:R39)+SUMIF(S7:S39,"12067A02",T7:T39)</f>
        <v>0</v>
      </c>
      <c r="F46" s="506"/>
    </row>
    <row r="47" spans="1:38" x14ac:dyDescent="0.25">
      <c r="C47" s="493" t="s">
        <v>249</v>
      </c>
      <c r="D47" s="494"/>
      <c r="E47" s="505">
        <f>SUMIF(O6:O38,"Data*",P6:P38)+SUMIF(Q6:Q38,"Data*",R6:R38)+SUMIF(S6:S38,"Data*",T6:T38)</f>
        <v>20.5</v>
      </c>
      <c r="F47" s="506"/>
    </row>
    <row r="48" spans="1:38" x14ac:dyDescent="0.25">
      <c r="C48" s="493" t="s">
        <v>250</v>
      </c>
      <c r="D48" s="494"/>
      <c r="E48" s="507">
        <f>SUMIF(O5:O35,"=Dnata",P5:P35)+SUMIF(Q5:Q35,"=Dnata",R5:R35)+SUMIF(S5:S35,"=Dnata",T5:T35)</f>
        <v>31</v>
      </c>
      <c r="F48" s="508"/>
    </row>
    <row r="49" spans="3:6" x14ac:dyDescent="0.25">
      <c r="C49" s="493" t="s">
        <v>228</v>
      </c>
      <c r="D49" s="494"/>
      <c r="E49" s="505"/>
      <c r="F49" s="506"/>
    </row>
    <row r="50" spans="3:6" x14ac:dyDescent="0.25">
      <c r="C50" s="493" t="s">
        <v>72</v>
      </c>
      <c r="D50" s="494"/>
      <c r="E50" s="505">
        <f>SUMIF(O5:O35,"=Formation",P5:P35)+SUMIF(Q5:Q35,"=Formation",R5:R35)+SUMIF(S5:S35,"=Formation",T5:T35)+SUMIF(O5:O35,"=CFPC",P5:P35)+SUMIF(Q5:Q35,"=CFPC",R5:R35)+SUMIF(S5:S35,"=CFPC",T5:T35)</f>
        <v>42</v>
      </c>
      <c r="F50" s="506"/>
    </row>
    <row r="51" spans="3:6" ht="14.4" thickBot="1" x14ac:dyDescent="0.3">
      <c r="C51" s="497" t="s">
        <v>244</v>
      </c>
      <c r="D51" s="498"/>
      <c r="E51" s="503">
        <f>SUMIF(O6:O38,"=",P6:P38)+SUMIF(Q6:Q38,"=",R6:R38)+SUMIF(S6:S38,"=",T6:T38)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</row>
    <row r="56" spans="3:6" x14ac:dyDescent="0.25">
      <c r="C56" s="138"/>
    </row>
    <row r="73" spans="4:4" x14ac:dyDescent="0.25">
      <c r="D73" s="142"/>
    </row>
    <row r="74" spans="4:4" x14ac:dyDescent="0.25">
      <c r="D74" s="142"/>
    </row>
    <row r="75" spans="4:4" x14ac:dyDescent="0.25">
      <c r="D75" s="142"/>
    </row>
    <row r="76" spans="4:4" x14ac:dyDescent="0.25">
      <c r="D76" s="142"/>
    </row>
    <row r="77" spans="4:4" x14ac:dyDescent="0.25">
      <c r="D77" s="142"/>
    </row>
    <row r="78" spans="4:4" x14ac:dyDescent="0.25">
      <c r="D78" s="142"/>
    </row>
    <row r="79" spans="4:4" x14ac:dyDescent="0.25">
      <c r="D79" s="142"/>
    </row>
    <row r="80" spans="4:4" x14ac:dyDescent="0.25">
      <c r="D80" s="142"/>
    </row>
    <row r="81" spans="4:4" x14ac:dyDescent="0.25">
      <c r="D81" s="142"/>
    </row>
    <row r="82" spans="4:4" x14ac:dyDescent="0.25">
      <c r="D82" s="142"/>
    </row>
    <row r="83" spans="4:4" x14ac:dyDescent="0.25">
      <c r="D83" s="142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</sheetData>
  <mergeCells count="32">
    <mergeCell ref="C49:D49"/>
    <mergeCell ref="E49:F49"/>
    <mergeCell ref="C50:D50"/>
    <mergeCell ref="E50:F50"/>
    <mergeCell ref="C51:D51"/>
    <mergeCell ref="E51:F51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2:D42"/>
    <mergeCell ref="E42:F42"/>
    <mergeCell ref="C2:X2"/>
    <mergeCell ref="C3:L3"/>
    <mergeCell ref="B5:B9"/>
    <mergeCell ref="B12:B16"/>
    <mergeCell ref="B19:B23"/>
    <mergeCell ref="B26:B30"/>
    <mergeCell ref="O4:X4"/>
    <mergeCell ref="B33:B36"/>
    <mergeCell ref="C40:D40"/>
    <mergeCell ref="E40:F40"/>
    <mergeCell ref="C41:D41"/>
    <mergeCell ref="E41:F41"/>
  </mergeCells>
  <conditionalFormatting sqref="D5:D37">
    <cfRule type="expression" dxfId="49" priority="7">
      <formula>D5=TODAY()</formula>
    </cfRule>
    <cfRule type="expression" dxfId="48" priority="8">
      <formula>D5&lt;TODAY()</formula>
    </cfRule>
  </conditionalFormatting>
  <conditionalFormatting sqref="L40">
    <cfRule type="expression" dxfId="47" priority="5">
      <formula>AND(L40&lt;&gt;E40)</formula>
    </cfRule>
    <cfRule type="expression" dxfId="46" priority="6">
      <formula>AND(L40=E40)</formula>
    </cfRule>
  </conditionalFormatting>
  <dataValidations disablePrompts="1" count="1">
    <dataValidation type="list" allowBlank="1" showInputMessage="1" showErrorMessage="1" sqref="E38 G38" xr:uid="{00000000-0002-0000-0C00-000000000000}">
      <formula1>#REF!</formula1>
    </dataValidation>
  </dataValidations>
  <pageMargins left="0.25" right="0.25" top="0.75" bottom="0.75" header="0.3" footer="0.3"/>
  <pageSetup paperSize="9" scale="75" fitToHeight="0" orientation="landscape" r:id="rId1"/>
  <headerFooter>
    <oddHeader xml:space="preserve">&amp;C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5">
    <tabColor theme="5" tint="0.59999389629810485"/>
    <pageSetUpPr fitToPage="1"/>
  </sheetPr>
  <dimension ref="A1:AO121"/>
  <sheetViews>
    <sheetView showGridLines="0" showZeros="0" showRuler="0" topLeftCell="H51" zoomScaleNormal="100" zoomScaleSheetLayoutView="100" zoomScalePageLayoutView="70" workbookViewId="0">
      <selection activeCell="AF20" sqref="AF20"/>
    </sheetView>
  </sheetViews>
  <sheetFormatPr baseColWidth="10" defaultColWidth="11" defaultRowHeight="13.8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2" width="9.296875" style="117" customWidth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/>
    <col min="29" max="29" width="16.09765625" style="117" customWidth="1"/>
    <col min="30" max="30" width="9.59765625" style="117" customWidth="1"/>
    <col min="31" max="31" width="11" style="117"/>
    <col min="32" max="32" width="15.09765625" style="117" customWidth="1"/>
    <col min="33" max="33" width="11" style="117"/>
    <col min="34" max="34" width="20.8984375" style="117" customWidth="1"/>
    <col min="35" max="37" width="11" style="117"/>
    <col min="38" max="38" width="11.8984375" style="117" customWidth="1"/>
    <col min="39" max="39" width="11" style="117"/>
    <col min="40" max="40" width="14.5" style="117" customWidth="1"/>
    <col min="41" max="16384" width="11" style="117"/>
  </cols>
  <sheetData>
    <row r="1" spans="1:41" ht="16.5" customHeight="1" thickBot="1" x14ac:dyDescent="0.3">
      <c r="C1" s="176" t="s">
        <v>220</v>
      </c>
      <c r="D1" s="175">
        <f ca="1">TODAY()</f>
        <v>44935</v>
      </c>
    </row>
    <row r="2" spans="1:41" ht="16.350000000000001" customHeight="1" thickTop="1" thickBot="1" x14ac:dyDescent="0.35">
      <c r="B2" s="118"/>
      <c r="C2" s="473" t="s">
        <v>251</v>
      </c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1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K3" s="117">
        <v>2021</v>
      </c>
      <c r="AN3" s="117">
        <v>2022</v>
      </c>
    </row>
    <row r="4" spans="1:41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150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C4" s="117" t="s">
        <v>259</v>
      </c>
      <c r="AD4" s="117" t="s">
        <v>258</v>
      </c>
      <c r="AF4" s="117" t="s">
        <v>260</v>
      </c>
      <c r="AH4" s="117" t="s">
        <v>240</v>
      </c>
      <c r="AK4" s="138"/>
      <c r="AN4" s="138"/>
    </row>
    <row r="5" spans="1:41" ht="16.350000000000001" customHeight="1" thickTop="1" thickBot="1" x14ac:dyDescent="0.35">
      <c r="B5" s="487">
        <f>_xlfn.ISOWEEKNUM(D5)</f>
        <v>39</v>
      </c>
      <c r="C5" s="229" t="s">
        <v>99</v>
      </c>
      <c r="D5" s="207">
        <v>44466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4" si="0">(F5-E5+I5-H5)*24</f>
        <v>0</v>
      </c>
      <c r="M5" s="211"/>
      <c r="N5" s="249">
        <f t="shared" ref="N5:N34" si="1">IF(L5&gt;0,(L5-K5)+N4,+N4)</f>
        <v>0</v>
      </c>
      <c r="O5" s="267"/>
      <c r="P5" s="266"/>
      <c r="Q5" s="266"/>
      <c r="R5" s="266"/>
      <c r="S5" s="266"/>
      <c r="T5" s="266"/>
      <c r="U5" s="266"/>
      <c r="V5" s="215"/>
      <c r="W5" s="214"/>
      <c r="X5" s="216"/>
      <c r="Y5" s="121"/>
      <c r="AC5" s="260">
        <v>800</v>
      </c>
      <c r="AD5" s="260">
        <v>21</v>
      </c>
      <c r="AF5">
        <v>0.18529999999999999</v>
      </c>
      <c r="AH5" s="259">
        <v>0.01</v>
      </c>
      <c r="AI5" s="117" t="s">
        <v>261</v>
      </c>
      <c r="AK5" s="138" t="s">
        <v>280</v>
      </c>
      <c r="AL5" s="263">
        <v>745</v>
      </c>
      <c r="AN5" s="138" t="s">
        <v>280</v>
      </c>
      <c r="AO5" s="263">
        <v>1020</v>
      </c>
    </row>
    <row r="6" spans="1:41" ht="16.350000000000001" customHeight="1" thickTop="1" thickBot="1" x14ac:dyDescent="0.35">
      <c r="B6" s="487"/>
      <c r="C6" s="125" t="s">
        <v>93</v>
      </c>
      <c r="D6" s="207">
        <v>44467</v>
      </c>
      <c r="E6" s="127"/>
      <c r="F6" s="127"/>
      <c r="G6" s="227">
        <f t="shared" ref="G6:G34" si="2">(F6-E6)*24</f>
        <v>0</v>
      </c>
      <c r="H6" s="127"/>
      <c r="I6" s="127"/>
      <c r="J6" s="227">
        <f t="shared" ref="J6:J34" si="3">(I6-H6)*24</f>
        <v>0</v>
      </c>
      <c r="K6" s="115">
        <v>8.5</v>
      </c>
      <c r="L6" s="147">
        <f t="shared" si="0"/>
        <v>0</v>
      </c>
      <c r="M6" s="205"/>
      <c r="N6" s="250">
        <f t="shared" si="1"/>
        <v>0</v>
      </c>
      <c r="O6" s="268"/>
      <c r="P6" s="269"/>
      <c r="Q6" s="269"/>
      <c r="R6" s="269"/>
      <c r="S6" s="269"/>
      <c r="T6" s="269"/>
      <c r="U6" s="269"/>
      <c r="V6" s="180"/>
      <c r="W6" s="157"/>
      <c r="X6" s="158"/>
      <c r="Y6" s="121"/>
      <c r="AC6" s="257"/>
      <c r="AH6" s="260">
        <f>AF7*AH5</f>
        <v>7.059047619047619E-2</v>
      </c>
      <c r="AK6" s="138" t="s">
        <v>281</v>
      </c>
      <c r="AL6" s="263">
        <v>745</v>
      </c>
      <c r="AN6" s="138" t="s">
        <v>281</v>
      </c>
      <c r="AO6" s="263">
        <v>1020</v>
      </c>
    </row>
    <row r="7" spans="1:41" ht="16.350000000000001" customHeight="1" thickTop="1" thickBot="1" x14ac:dyDescent="0.35">
      <c r="A7" s="150"/>
      <c r="B7" s="487"/>
      <c r="C7" s="206" t="s">
        <v>94</v>
      </c>
      <c r="D7" s="207">
        <v>44468</v>
      </c>
      <c r="E7" s="208"/>
      <c r="F7" s="208"/>
      <c r="G7" s="132">
        <f t="shared" si="2"/>
        <v>0</v>
      </c>
      <c r="H7" s="208"/>
      <c r="I7" s="208"/>
      <c r="J7" s="132">
        <f t="shared" si="3"/>
        <v>0</v>
      </c>
      <c r="K7" s="209">
        <v>8.5</v>
      </c>
      <c r="L7" s="210">
        <f t="shared" si="0"/>
        <v>0</v>
      </c>
      <c r="M7" s="211"/>
      <c r="N7" s="249">
        <f t="shared" si="1"/>
        <v>0</v>
      </c>
      <c r="O7" s="267"/>
      <c r="P7" s="266"/>
      <c r="Q7" s="266"/>
      <c r="R7" s="266"/>
      <c r="S7" s="266"/>
      <c r="T7" s="266"/>
      <c r="U7" s="266"/>
      <c r="V7" s="215"/>
      <c r="W7" s="214"/>
      <c r="X7" s="216"/>
      <c r="Y7" s="121"/>
      <c r="AB7" s="257"/>
      <c r="AD7" s="140">
        <f>AC5/AD5</f>
        <v>38.095238095238095</v>
      </c>
      <c r="AE7" s="117" t="s">
        <v>257</v>
      </c>
      <c r="AF7" s="260">
        <f>AF5*AD7</f>
        <v>7.059047619047619</v>
      </c>
      <c r="AH7" s="260">
        <f>AH8-AH9</f>
        <v>1</v>
      </c>
      <c r="AI7" s="117" t="s">
        <v>264</v>
      </c>
      <c r="AK7" s="138" t="s">
        <v>282</v>
      </c>
      <c r="AL7" s="263">
        <v>745</v>
      </c>
      <c r="AN7" s="138" t="s">
        <v>282</v>
      </c>
      <c r="AO7" s="263">
        <v>1020</v>
      </c>
    </row>
    <row r="8" spans="1:41" ht="16.350000000000001" customHeight="1" thickTop="1" thickBot="1" x14ac:dyDescent="0.35">
      <c r="A8" s="150"/>
      <c r="B8" s="487"/>
      <c r="C8" s="125" t="s">
        <v>95</v>
      </c>
      <c r="D8" s="207">
        <v>44469</v>
      </c>
      <c r="E8" s="127"/>
      <c r="F8" s="127"/>
      <c r="G8" s="227">
        <f t="shared" si="2"/>
        <v>0</v>
      </c>
      <c r="H8" s="127"/>
      <c r="I8" s="127"/>
      <c r="J8" s="227">
        <f t="shared" si="3"/>
        <v>0</v>
      </c>
      <c r="K8" s="115">
        <v>8.5</v>
      </c>
      <c r="L8" s="147">
        <f t="shared" si="0"/>
        <v>0</v>
      </c>
      <c r="M8" s="205"/>
      <c r="N8" s="250">
        <f t="shared" si="1"/>
        <v>0</v>
      </c>
      <c r="O8" s="268"/>
      <c r="P8" s="269"/>
      <c r="Q8" s="269"/>
      <c r="R8" s="269"/>
      <c r="S8" s="270"/>
      <c r="T8" s="269"/>
      <c r="U8" s="269"/>
      <c r="V8" s="180"/>
      <c r="W8" s="157"/>
      <c r="X8" s="158"/>
      <c r="Y8" s="121"/>
      <c r="AE8" s="258"/>
      <c r="AH8" s="260">
        <f>AF7-AC5</f>
        <v>-792.94095238095235</v>
      </c>
      <c r="AI8" s="117" t="s">
        <v>262</v>
      </c>
      <c r="AK8" s="138" t="s">
        <v>283</v>
      </c>
      <c r="AL8" s="263">
        <v>745</v>
      </c>
      <c r="AN8" s="138" t="s">
        <v>283</v>
      </c>
      <c r="AO8" s="263">
        <v>1020</v>
      </c>
    </row>
    <row r="9" spans="1:41" ht="16.05" customHeight="1" thickTop="1" thickBot="1" x14ac:dyDescent="0.35">
      <c r="A9" s="150"/>
      <c r="B9" s="487"/>
      <c r="C9" s="206" t="s">
        <v>96</v>
      </c>
      <c r="D9" s="207">
        <v>44470</v>
      </c>
      <c r="E9" s="208"/>
      <c r="F9" s="208"/>
      <c r="G9" s="132">
        <f t="shared" si="2"/>
        <v>0</v>
      </c>
      <c r="H9" s="208"/>
      <c r="I9" s="208">
        <v>0.33333333333333331</v>
      </c>
      <c r="J9" s="132">
        <f t="shared" si="3"/>
        <v>8</v>
      </c>
      <c r="K9" s="209">
        <v>8</v>
      </c>
      <c r="L9" s="210">
        <f t="shared" si="0"/>
        <v>8</v>
      </c>
      <c r="M9" s="211"/>
      <c r="N9" s="249">
        <f t="shared" si="1"/>
        <v>0</v>
      </c>
      <c r="O9" s="267"/>
      <c r="P9" s="266"/>
      <c r="Q9" s="266"/>
      <c r="R9" s="266"/>
      <c r="S9" s="266"/>
      <c r="T9" s="266"/>
      <c r="U9" s="271"/>
      <c r="V9" s="215"/>
      <c r="W9" s="214"/>
      <c r="X9" s="216"/>
      <c r="Y9" s="121"/>
      <c r="AG9" s="259">
        <f>AH9/AC5</f>
        <v>-0.99242619047619041</v>
      </c>
      <c r="AH9" s="261">
        <f>IF(AH6&gt;1,AH8-AH6,AH8-1)</f>
        <v>-793.94095238095235</v>
      </c>
      <c r="AI9" s="117" t="s">
        <v>263</v>
      </c>
      <c r="AK9" s="138" t="s">
        <v>284</v>
      </c>
      <c r="AL9" s="263">
        <v>745</v>
      </c>
      <c r="AN9" s="138" t="s">
        <v>284</v>
      </c>
      <c r="AO9" s="263">
        <v>1020</v>
      </c>
    </row>
    <row r="10" spans="1:41" ht="1.35" customHeight="1" thickTop="1" thickBot="1" x14ac:dyDescent="0.35">
      <c r="A10" s="150"/>
      <c r="B10" s="122"/>
      <c r="C10" s="143" t="s">
        <v>97</v>
      </c>
      <c r="D10" s="207">
        <v>44471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274"/>
      <c r="V10" s="181"/>
      <c r="W10" s="162"/>
      <c r="X10" s="164"/>
      <c r="Y10" s="121"/>
      <c r="AK10" s="138" t="s">
        <v>285</v>
      </c>
      <c r="AL10" s="263">
        <v>745</v>
      </c>
      <c r="AN10" s="138" t="s">
        <v>285</v>
      </c>
      <c r="AO10" s="263">
        <v>1020</v>
      </c>
    </row>
    <row r="11" spans="1:41" ht="1.35" customHeight="1" thickTop="1" thickBot="1" x14ac:dyDescent="0.35">
      <c r="A11" s="150"/>
      <c r="B11" s="122"/>
      <c r="C11" s="143" t="s">
        <v>98</v>
      </c>
      <c r="D11" s="207">
        <v>44472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274"/>
      <c r="V11" s="181"/>
      <c r="W11" s="163"/>
      <c r="X11" s="164"/>
      <c r="Y11" s="121"/>
      <c r="AK11" s="138" t="s">
        <v>286</v>
      </c>
      <c r="AL11" s="263">
        <v>745</v>
      </c>
      <c r="AN11" s="138" t="s">
        <v>286</v>
      </c>
      <c r="AO11" s="263">
        <v>1020</v>
      </c>
    </row>
    <row r="12" spans="1:41" ht="16.05" customHeight="1" thickTop="1" thickBot="1" x14ac:dyDescent="0.35">
      <c r="A12" s="150"/>
      <c r="B12" s="487">
        <f>_xlfn.ISOWEEKNUM(D12)</f>
        <v>40</v>
      </c>
      <c r="C12" s="125" t="s">
        <v>99</v>
      </c>
      <c r="D12" s="207">
        <v>44473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0</v>
      </c>
      <c r="O12" s="269"/>
      <c r="P12" s="269"/>
      <c r="Q12" s="275"/>
      <c r="R12" s="275"/>
      <c r="S12" s="269"/>
      <c r="T12" s="269"/>
      <c r="U12" s="270"/>
      <c r="V12" s="180"/>
      <c r="W12" s="157"/>
      <c r="X12" s="158"/>
      <c r="Y12" s="121"/>
      <c r="AH12" s="257"/>
      <c r="AK12" s="138" t="s">
        <v>287</v>
      </c>
      <c r="AL12" s="263">
        <v>945</v>
      </c>
      <c r="AN12" s="138" t="s">
        <v>287</v>
      </c>
      <c r="AO12" s="263">
        <v>1150</v>
      </c>
    </row>
    <row r="13" spans="1:41" ht="16.05" customHeight="1" thickTop="1" thickBot="1" x14ac:dyDescent="0.35">
      <c r="A13" s="150"/>
      <c r="B13" s="487"/>
      <c r="C13" s="206" t="s">
        <v>93</v>
      </c>
      <c r="D13" s="207">
        <v>44474</v>
      </c>
      <c r="E13" s="208">
        <v>0.35416666666666669</v>
      </c>
      <c r="F13" s="208">
        <v>0.51041666666666663</v>
      </c>
      <c r="G13" s="132">
        <f t="shared" si="2"/>
        <v>3.7499999999999987</v>
      </c>
      <c r="H13" s="208">
        <v>0.54166666666666663</v>
      </c>
      <c r="I13" s="208">
        <v>0.72916666666666663</v>
      </c>
      <c r="J13" s="132">
        <f t="shared" si="3"/>
        <v>4.5</v>
      </c>
      <c r="K13" s="209">
        <v>8.5</v>
      </c>
      <c r="L13" s="210">
        <f t="shared" si="0"/>
        <v>8.2499999999999964</v>
      </c>
      <c r="M13" s="211"/>
      <c r="N13" s="249">
        <f t="shared" si="1"/>
        <v>-0.25000000000000355</v>
      </c>
      <c r="O13" s="266" t="s">
        <v>295</v>
      </c>
      <c r="P13" s="266">
        <v>3.75</v>
      </c>
      <c r="Q13" s="266" t="s">
        <v>139</v>
      </c>
      <c r="R13" s="266">
        <v>4.5</v>
      </c>
      <c r="S13" s="271"/>
      <c r="T13" s="266"/>
      <c r="U13" s="271"/>
      <c r="V13" s="215"/>
      <c r="W13" s="217"/>
      <c r="X13" s="219"/>
      <c r="Y13" s="133"/>
      <c r="AK13" s="138" t="s">
        <v>288</v>
      </c>
      <c r="AL13" s="263">
        <v>1020</v>
      </c>
      <c r="AN13" s="138" t="s">
        <v>288</v>
      </c>
      <c r="AO13" s="263">
        <v>1300</v>
      </c>
    </row>
    <row r="14" spans="1:41" ht="16.05" customHeight="1" thickTop="1" thickBot="1" x14ac:dyDescent="0.35">
      <c r="A14" s="150"/>
      <c r="B14" s="487"/>
      <c r="C14" s="125" t="s">
        <v>94</v>
      </c>
      <c r="D14" s="207">
        <v>44475</v>
      </c>
      <c r="E14" s="127">
        <v>0.35416666666666669</v>
      </c>
      <c r="F14" s="127">
        <v>0.51041666666666663</v>
      </c>
      <c r="G14" s="227">
        <f t="shared" si="2"/>
        <v>3.7499999999999987</v>
      </c>
      <c r="H14" s="127">
        <v>0.55208333333333337</v>
      </c>
      <c r="I14" s="127">
        <v>0.75</v>
      </c>
      <c r="J14" s="227">
        <f t="shared" si="3"/>
        <v>4.7499999999999991</v>
      </c>
      <c r="K14" s="115">
        <v>8.5</v>
      </c>
      <c r="L14" s="147">
        <f t="shared" si="0"/>
        <v>8.5</v>
      </c>
      <c r="M14" s="205"/>
      <c r="N14" s="250">
        <f t="shared" si="1"/>
        <v>-0.25000000000000355</v>
      </c>
      <c r="O14" s="269" t="s">
        <v>140</v>
      </c>
      <c r="P14" s="269">
        <v>8.5</v>
      </c>
      <c r="Q14" s="269"/>
      <c r="R14" s="275"/>
      <c r="S14" s="270"/>
      <c r="T14" s="269"/>
      <c r="U14" s="269"/>
      <c r="V14" s="180"/>
      <c r="W14" s="157"/>
      <c r="X14" s="158"/>
      <c r="Y14" s="133"/>
      <c r="AH14" s="257"/>
      <c r="AK14" s="138" t="s">
        <v>289</v>
      </c>
      <c r="AL14" s="263">
        <v>1020</v>
      </c>
      <c r="AN14" s="138" t="s">
        <v>289</v>
      </c>
      <c r="AO14" s="263">
        <v>1300</v>
      </c>
    </row>
    <row r="15" spans="1:41" ht="16.05" customHeight="1" thickTop="1" thickBot="1" x14ac:dyDescent="0.35">
      <c r="A15" s="150"/>
      <c r="B15" s="487"/>
      <c r="C15" s="206" t="s">
        <v>95</v>
      </c>
      <c r="D15" s="207">
        <v>44476</v>
      </c>
      <c r="E15" s="208">
        <v>0.34375</v>
      </c>
      <c r="F15" s="208">
        <v>0.51041666666666663</v>
      </c>
      <c r="G15" s="132">
        <f t="shared" si="2"/>
        <v>3.9999999999999991</v>
      </c>
      <c r="H15" s="208">
        <v>0.55208333333333337</v>
      </c>
      <c r="I15" s="208">
        <v>0.77083333333333337</v>
      </c>
      <c r="J15" s="132">
        <f t="shared" si="3"/>
        <v>5.25</v>
      </c>
      <c r="K15" s="209">
        <v>8.5</v>
      </c>
      <c r="L15" s="210">
        <f t="shared" si="0"/>
        <v>9.25</v>
      </c>
      <c r="M15" s="211"/>
      <c r="N15" s="249">
        <f t="shared" si="1"/>
        <v>0.49999999999999645</v>
      </c>
      <c r="O15" s="266" t="s">
        <v>139</v>
      </c>
      <c r="P15" s="266">
        <v>9.25</v>
      </c>
      <c r="Q15" s="266" t="s">
        <v>139</v>
      </c>
      <c r="R15" s="266"/>
      <c r="S15" s="265"/>
      <c r="T15" s="265"/>
      <c r="U15" s="266"/>
      <c r="V15" s="215"/>
      <c r="W15" s="214"/>
      <c r="X15" s="216"/>
      <c r="Y15" s="133"/>
      <c r="AC15" s="117" t="s">
        <v>259</v>
      </c>
      <c r="AD15" s="117" t="s">
        <v>258</v>
      </c>
      <c r="AF15" s="117" t="s">
        <v>260</v>
      </c>
      <c r="AH15" s="117" t="s">
        <v>240</v>
      </c>
      <c r="AK15" s="138" t="s">
        <v>290</v>
      </c>
      <c r="AL15" s="263">
        <v>1020</v>
      </c>
      <c r="AN15" s="138" t="s">
        <v>290</v>
      </c>
      <c r="AO15" s="263">
        <v>1300</v>
      </c>
    </row>
    <row r="16" spans="1:41" ht="16.05" customHeight="1" thickTop="1" thickBot="1" x14ac:dyDescent="0.35">
      <c r="A16" s="150"/>
      <c r="B16" s="487"/>
      <c r="C16" s="125" t="s">
        <v>96</v>
      </c>
      <c r="D16" s="207">
        <v>44477</v>
      </c>
      <c r="E16" s="127">
        <v>0.33333333333333331</v>
      </c>
      <c r="F16" s="127">
        <v>0.51041666666666663</v>
      </c>
      <c r="G16" s="227">
        <f t="shared" si="2"/>
        <v>4.25</v>
      </c>
      <c r="H16" s="127">
        <v>0.54166666666666663</v>
      </c>
      <c r="I16" s="127">
        <v>0.71875</v>
      </c>
      <c r="J16" s="227">
        <f t="shared" si="3"/>
        <v>4.2500000000000009</v>
      </c>
      <c r="K16" s="115">
        <v>8</v>
      </c>
      <c r="L16" s="210">
        <f t="shared" si="0"/>
        <v>8.5</v>
      </c>
      <c r="M16" s="205"/>
      <c r="N16" s="250">
        <f t="shared" si="1"/>
        <v>0.99999999999999645</v>
      </c>
      <c r="O16" s="269" t="s">
        <v>296</v>
      </c>
      <c r="P16" s="269">
        <v>8.5</v>
      </c>
      <c r="Q16" s="275"/>
      <c r="R16" s="275"/>
      <c r="S16" s="270"/>
      <c r="T16" s="269"/>
      <c r="U16" s="269"/>
      <c r="V16" s="180"/>
      <c r="W16" s="157"/>
      <c r="X16" s="158"/>
      <c r="Y16" s="133"/>
      <c r="AC16" s="260">
        <v>650</v>
      </c>
      <c r="AD16" s="260">
        <v>1.28</v>
      </c>
      <c r="AF16">
        <v>0.18529999999999999</v>
      </c>
      <c r="AH16" s="259">
        <v>0.01</v>
      </c>
      <c r="AI16" s="117" t="s">
        <v>261</v>
      </c>
      <c r="AK16" s="138" t="s">
        <v>291</v>
      </c>
      <c r="AL16" s="263">
        <v>1020</v>
      </c>
      <c r="AN16" s="138" t="s">
        <v>291</v>
      </c>
      <c r="AO16" s="263">
        <v>1300</v>
      </c>
    </row>
    <row r="17" spans="1:41" ht="1.35" customHeight="1" thickTop="1" thickBot="1" x14ac:dyDescent="0.35">
      <c r="A17" s="150"/>
      <c r="B17" s="185"/>
      <c r="C17" s="143" t="s">
        <v>97</v>
      </c>
      <c r="D17" s="207">
        <v>44478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50">
        <f t="shared" si="1"/>
        <v>0.99999999999999645</v>
      </c>
      <c r="O17" s="272"/>
      <c r="P17" s="273"/>
      <c r="Q17" s="273"/>
      <c r="R17" s="273"/>
      <c r="S17" s="273"/>
      <c r="T17" s="273"/>
      <c r="U17" s="273"/>
      <c r="V17" s="181"/>
      <c r="W17" s="162"/>
      <c r="X17" s="164"/>
      <c r="Y17" s="133"/>
      <c r="AC17" s="257"/>
      <c r="AH17" s="260">
        <f>AF18*AH16</f>
        <v>0.94097656250000006</v>
      </c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207">
        <v>44479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50">
        <f t="shared" si="1"/>
        <v>0.99999999999999645</v>
      </c>
      <c r="O18" s="272"/>
      <c r="P18" s="273"/>
      <c r="Q18" s="273"/>
      <c r="R18" s="273"/>
      <c r="S18" s="274"/>
      <c r="T18" s="273"/>
      <c r="U18" s="273"/>
      <c r="V18" s="181"/>
      <c r="W18" s="162"/>
      <c r="X18" s="164"/>
      <c r="Y18" s="133"/>
      <c r="AD18" s="140">
        <f>AC16/AD16</f>
        <v>507.8125</v>
      </c>
      <c r="AE18" s="117" t="s">
        <v>257</v>
      </c>
      <c r="AF18" s="260">
        <f>AF16*AD18</f>
        <v>94.09765625</v>
      </c>
      <c r="AH18" s="260">
        <f>AH19-AH20</f>
        <v>1</v>
      </c>
      <c r="AI18" s="117" t="s">
        <v>264</v>
      </c>
      <c r="AL18" s="263"/>
      <c r="AO18" s="263">
        <f>SUM(AO5:AO16)</f>
        <v>13490</v>
      </c>
    </row>
    <row r="19" spans="1:41" ht="16.05" customHeight="1" thickTop="1" thickBot="1" x14ac:dyDescent="0.35">
      <c r="A19" s="150"/>
      <c r="B19" s="487">
        <f>_xlfn.ISOWEEKNUM(D19)</f>
        <v>41</v>
      </c>
      <c r="C19" s="206" t="s">
        <v>99</v>
      </c>
      <c r="D19" s="207">
        <v>44480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0.99999999999999645</v>
      </c>
      <c r="O19" s="267" t="s">
        <v>216</v>
      </c>
      <c r="P19" s="266"/>
      <c r="Q19" s="266"/>
      <c r="R19" s="266"/>
      <c r="S19" s="271"/>
      <c r="T19" s="266"/>
      <c r="U19" s="271"/>
      <c r="V19" s="215"/>
      <c r="W19" s="214"/>
      <c r="X19" s="216"/>
      <c r="Y19" s="133"/>
      <c r="AE19" s="258"/>
      <c r="AH19" s="260">
        <f>AF18-AC16</f>
        <v>-555.90234375</v>
      </c>
      <c r="AI19" s="117" t="s">
        <v>262</v>
      </c>
      <c r="AL19" s="263">
        <f>SUM(AL5:AL16)</f>
        <v>10240</v>
      </c>
      <c r="AO19" s="263">
        <f>SUM(AO5:AO16)</f>
        <v>13490</v>
      </c>
    </row>
    <row r="20" spans="1:41" ht="16.05" customHeight="1" thickTop="1" thickBot="1" x14ac:dyDescent="0.35">
      <c r="A20" s="150"/>
      <c r="B20" s="487"/>
      <c r="C20" s="125" t="s">
        <v>93</v>
      </c>
      <c r="D20" s="207">
        <v>44481</v>
      </c>
      <c r="E20" s="127">
        <v>0.33333333333333331</v>
      </c>
      <c r="F20" s="127">
        <v>0.51041666666666663</v>
      </c>
      <c r="G20" s="227">
        <f t="shared" si="2"/>
        <v>4.25</v>
      </c>
      <c r="H20" s="127">
        <v>0.54166666666666663</v>
      </c>
      <c r="I20" s="127">
        <v>0.71875</v>
      </c>
      <c r="J20" s="227">
        <f t="shared" si="3"/>
        <v>4.2500000000000009</v>
      </c>
      <c r="K20" s="115">
        <v>8.5</v>
      </c>
      <c r="L20" s="147">
        <f t="shared" si="0"/>
        <v>8.5</v>
      </c>
      <c r="M20" s="205"/>
      <c r="N20" s="250">
        <f t="shared" si="1"/>
        <v>0.99999999999999645</v>
      </c>
      <c r="O20" s="268" t="s">
        <v>139</v>
      </c>
      <c r="P20" s="269">
        <v>4.25</v>
      </c>
      <c r="Q20" s="269" t="s">
        <v>5</v>
      </c>
      <c r="R20" s="269">
        <v>4.25</v>
      </c>
      <c r="S20" s="269"/>
      <c r="T20" s="269"/>
      <c r="U20" s="269"/>
      <c r="V20" s="180"/>
      <c r="W20" s="157"/>
      <c r="X20" s="158"/>
      <c r="Y20" s="133"/>
      <c r="AD20" s="140">
        <f>AC16/AD16</f>
        <v>507.8125</v>
      </c>
      <c r="AE20" s="117" t="s">
        <v>268</v>
      </c>
      <c r="AF20" s="260">
        <f>AF16*AD20</f>
        <v>94.09765625</v>
      </c>
      <c r="AG20" s="259">
        <f>AH20/AC16</f>
        <v>-0.85677283653846159</v>
      </c>
      <c r="AH20" s="261">
        <f>IF(AH17&gt;1,AH19-AH17,AH19-1)</f>
        <v>-556.90234375</v>
      </c>
      <c r="AI20" s="117" t="s">
        <v>263</v>
      </c>
    </row>
    <row r="21" spans="1:41" ht="16.05" customHeight="1" thickTop="1" thickBot="1" x14ac:dyDescent="0.35">
      <c r="A21" s="150"/>
      <c r="B21" s="487"/>
      <c r="C21" s="206" t="s">
        <v>94</v>
      </c>
      <c r="D21" s="207">
        <v>44482</v>
      </c>
      <c r="E21" s="208">
        <v>0.33333333333333331</v>
      </c>
      <c r="F21" s="208">
        <v>0.51041666666666663</v>
      </c>
      <c r="G21" s="132">
        <f t="shared" si="2"/>
        <v>4.25</v>
      </c>
      <c r="H21" s="208">
        <v>0.54166666666666663</v>
      </c>
      <c r="I21" s="208">
        <v>0.71875</v>
      </c>
      <c r="J21" s="132">
        <f t="shared" si="3"/>
        <v>4.2500000000000009</v>
      </c>
      <c r="K21" s="209">
        <v>8.5</v>
      </c>
      <c r="L21" s="210">
        <f t="shared" si="0"/>
        <v>8.5</v>
      </c>
      <c r="M21" s="211"/>
      <c r="N21" s="249">
        <f t="shared" si="1"/>
        <v>0.99999999999999645</v>
      </c>
      <c r="O21" s="267" t="s">
        <v>204</v>
      </c>
      <c r="P21" s="266">
        <v>4.25</v>
      </c>
      <c r="Q21" s="266" t="s">
        <v>76</v>
      </c>
      <c r="R21" s="266">
        <v>4.25</v>
      </c>
      <c r="S21" s="266"/>
      <c r="T21" s="266"/>
      <c r="U21" s="266"/>
      <c r="V21" s="215"/>
      <c r="W21" s="214"/>
      <c r="X21" s="216"/>
      <c r="Y21" s="133"/>
      <c r="AK21" s="117">
        <v>2023</v>
      </c>
      <c r="AN21" s="117">
        <v>2024</v>
      </c>
    </row>
    <row r="22" spans="1:41" ht="16.05" customHeight="1" thickTop="1" thickBot="1" x14ac:dyDescent="0.35">
      <c r="A22" s="150"/>
      <c r="B22" s="487"/>
      <c r="C22" s="125" t="s">
        <v>95</v>
      </c>
      <c r="D22" s="207">
        <v>44483</v>
      </c>
      <c r="E22" s="127">
        <v>0.33333333333333331</v>
      </c>
      <c r="F22" s="127">
        <v>0.51041666666666663</v>
      </c>
      <c r="G22" s="227">
        <f t="shared" si="2"/>
        <v>4.25</v>
      </c>
      <c r="H22" s="127">
        <v>0.54166666666666663</v>
      </c>
      <c r="I22" s="127">
        <v>0.71875</v>
      </c>
      <c r="J22" s="227">
        <f t="shared" si="3"/>
        <v>4.2500000000000009</v>
      </c>
      <c r="K22" s="115">
        <v>8.5</v>
      </c>
      <c r="L22" s="147">
        <f t="shared" si="0"/>
        <v>8.5</v>
      </c>
      <c r="M22" s="205"/>
      <c r="N22" s="250">
        <f t="shared" si="1"/>
        <v>0.99999999999999645</v>
      </c>
      <c r="O22" s="268" t="s">
        <v>297</v>
      </c>
      <c r="P22" s="269">
        <v>4.25</v>
      </c>
      <c r="Q22" s="269" t="s">
        <v>139</v>
      </c>
      <c r="R22" s="269">
        <v>4.25</v>
      </c>
      <c r="S22" s="269"/>
      <c r="T22" s="269"/>
      <c r="U22" s="269"/>
      <c r="V22" s="180"/>
      <c r="W22" s="157"/>
      <c r="X22" s="158"/>
      <c r="Y22" s="133"/>
      <c r="AK22" s="138"/>
      <c r="AN22" s="138"/>
    </row>
    <row r="23" spans="1:41" ht="16.05" customHeight="1" thickTop="1" thickBot="1" x14ac:dyDescent="0.35">
      <c r="A23" s="150"/>
      <c r="B23" s="487"/>
      <c r="C23" s="206" t="s">
        <v>96</v>
      </c>
      <c r="D23" s="207">
        <v>44484</v>
      </c>
      <c r="E23" s="208">
        <v>0.34375</v>
      </c>
      <c r="F23" s="208">
        <v>0.51041666666666663</v>
      </c>
      <c r="G23" s="132">
        <f t="shared" si="2"/>
        <v>3.9999999999999991</v>
      </c>
      <c r="H23" s="208">
        <v>0.54166666666666663</v>
      </c>
      <c r="I23" s="208">
        <v>0.75</v>
      </c>
      <c r="J23" s="132">
        <f t="shared" si="3"/>
        <v>5.0000000000000009</v>
      </c>
      <c r="K23" s="209">
        <v>8</v>
      </c>
      <c r="L23" s="210">
        <f t="shared" si="0"/>
        <v>9</v>
      </c>
      <c r="M23" s="211"/>
      <c r="N23" s="249">
        <f t="shared" si="1"/>
        <v>1.9999999999999964</v>
      </c>
      <c r="O23" s="267" t="s">
        <v>171</v>
      </c>
      <c r="P23" s="266">
        <v>9</v>
      </c>
      <c r="Q23" s="266"/>
      <c r="R23" s="266"/>
      <c r="S23" s="266"/>
      <c r="T23" s="266"/>
      <c r="U23" s="266"/>
      <c r="V23" s="215"/>
      <c r="W23" s="214"/>
      <c r="X23" s="216"/>
      <c r="Y23" s="133"/>
      <c r="AC23" s="117" t="s">
        <v>259</v>
      </c>
      <c r="AD23" s="117" t="s">
        <v>258</v>
      </c>
      <c r="AF23" s="117" t="s">
        <v>260</v>
      </c>
      <c r="AH23" s="117" t="s">
        <v>240</v>
      </c>
      <c r="AK23" s="138" t="s">
        <v>280</v>
      </c>
      <c r="AL23" s="263">
        <v>1300</v>
      </c>
      <c r="AN23" s="138" t="s">
        <v>280</v>
      </c>
      <c r="AO23" s="263">
        <v>1850</v>
      </c>
    </row>
    <row r="24" spans="1:41" ht="1.35" customHeight="1" thickTop="1" thickBot="1" x14ac:dyDescent="0.35">
      <c r="A24" s="150"/>
      <c r="B24" s="185"/>
      <c r="C24" s="143" t="s">
        <v>97</v>
      </c>
      <c r="D24" s="207">
        <v>44485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1.9999999999999964</v>
      </c>
      <c r="O24" s="272"/>
      <c r="P24" s="273"/>
      <c r="Q24" s="273"/>
      <c r="R24" s="273"/>
      <c r="S24" s="273"/>
      <c r="T24" s="273"/>
      <c r="U24" s="273"/>
      <c r="V24" s="181"/>
      <c r="W24" s="162"/>
      <c r="X24" s="164"/>
      <c r="Y24" s="133"/>
      <c r="AK24" s="138" t="s">
        <v>281</v>
      </c>
      <c r="AL24" s="263">
        <v>1300</v>
      </c>
      <c r="AN24" s="138" t="s">
        <v>281</v>
      </c>
      <c r="AO24" s="263">
        <v>1850</v>
      </c>
    </row>
    <row r="25" spans="1:41" ht="1.35" customHeight="1" thickTop="1" thickBot="1" x14ac:dyDescent="0.35">
      <c r="A25" s="150"/>
      <c r="B25" s="185"/>
      <c r="C25" s="143" t="s">
        <v>98</v>
      </c>
      <c r="D25" s="207">
        <v>44486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1.9999999999999964</v>
      </c>
      <c r="O25" s="272"/>
      <c r="P25" s="273"/>
      <c r="Q25" s="273"/>
      <c r="R25" s="273"/>
      <c r="S25" s="273"/>
      <c r="T25" s="273"/>
      <c r="U25" s="273"/>
      <c r="V25" s="181"/>
      <c r="W25" s="162"/>
      <c r="X25" s="164"/>
      <c r="Y25" s="133"/>
      <c r="AK25" s="138" t="s">
        <v>282</v>
      </c>
      <c r="AL25" s="263">
        <v>1300</v>
      </c>
      <c r="AN25" s="138" t="s">
        <v>282</v>
      </c>
      <c r="AO25" s="263">
        <v>1850</v>
      </c>
    </row>
    <row r="26" spans="1:41" ht="16.05" customHeight="1" thickTop="1" thickBot="1" x14ac:dyDescent="0.35">
      <c r="A26" s="150"/>
      <c r="B26" s="487">
        <f>_xlfn.ISOWEEKNUM(D26)</f>
        <v>42</v>
      </c>
      <c r="C26" s="125" t="s">
        <v>99</v>
      </c>
      <c r="D26" s="207">
        <v>44487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1.9999999999999964</v>
      </c>
      <c r="O26" s="268"/>
      <c r="P26" s="269"/>
      <c r="Q26" s="269"/>
      <c r="R26" s="269"/>
      <c r="S26" s="269"/>
      <c r="T26" s="269"/>
      <c r="U26" s="269"/>
      <c r="V26" s="180"/>
      <c r="W26" s="157"/>
      <c r="X26" s="158"/>
      <c r="Y26" s="133"/>
      <c r="AC26" s="260">
        <v>1100</v>
      </c>
      <c r="AD26" s="260">
        <v>0.73</v>
      </c>
      <c r="AF26">
        <v>0.18529999999999999</v>
      </c>
      <c r="AH26" s="259">
        <v>0.01</v>
      </c>
      <c r="AI26" s="117" t="s">
        <v>261</v>
      </c>
      <c r="AK26" s="138" t="s">
        <v>283</v>
      </c>
      <c r="AL26" s="263">
        <v>1300</v>
      </c>
      <c r="AN26" s="138" t="s">
        <v>283</v>
      </c>
      <c r="AO26" s="263">
        <v>1850</v>
      </c>
    </row>
    <row r="27" spans="1:41" ht="16.05" customHeight="1" thickTop="1" thickBot="1" x14ac:dyDescent="0.35">
      <c r="A27" s="150"/>
      <c r="B27" s="487"/>
      <c r="C27" s="206" t="s">
        <v>93</v>
      </c>
      <c r="D27" s="207">
        <v>44488</v>
      </c>
      <c r="E27" s="208">
        <v>0.33333333333333331</v>
      </c>
      <c r="F27" s="208">
        <v>0.51041666666666663</v>
      </c>
      <c r="G27" s="132">
        <f t="shared" si="2"/>
        <v>4.25</v>
      </c>
      <c r="H27" s="208">
        <v>0.55208333333333337</v>
      </c>
      <c r="I27" s="208">
        <v>0.72916666666666663</v>
      </c>
      <c r="J27" s="132">
        <f t="shared" si="3"/>
        <v>4.2499999999999982</v>
      </c>
      <c r="K27" s="209">
        <v>8.5</v>
      </c>
      <c r="L27" s="210">
        <f t="shared" si="0"/>
        <v>8.5</v>
      </c>
      <c r="M27" s="211"/>
      <c r="N27" s="249">
        <f t="shared" si="1"/>
        <v>1.9999999999999964</v>
      </c>
      <c r="O27" s="267" t="s">
        <v>298</v>
      </c>
      <c r="P27" s="266">
        <v>4.25</v>
      </c>
      <c r="Q27" s="266" t="s">
        <v>300</v>
      </c>
      <c r="R27" s="266">
        <v>4.25</v>
      </c>
      <c r="S27" s="266"/>
      <c r="T27" s="266"/>
      <c r="U27" s="266"/>
      <c r="V27" s="215"/>
      <c r="W27" s="214"/>
      <c r="X27" s="216"/>
      <c r="Y27" s="121"/>
      <c r="AC27" s="257"/>
      <c r="AH27" s="260">
        <f>AF28*AH26</f>
        <v>2.7921917808219177</v>
      </c>
      <c r="AK27" s="138" t="s">
        <v>284</v>
      </c>
      <c r="AL27" s="263">
        <v>1300</v>
      </c>
      <c r="AN27" s="138" t="s">
        <v>284</v>
      </c>
      <c r="AO27" s="263">
        <v>1850</v>
      </c>
    </row>
    <row r="28" spans="1:41" ht="16.05" customHeight="1" thickTop="1" thickBot="1" x14ac:dyDescent="0.35">
      <c r="A28" s="150"/>
      <c r="B28" s="487"/>
      <c r="C28" s="125" t="s">
        <v>94</v>
      </c>
      <c r="D28" s="207">
        <v>44489</v>
      </c>
      <c r="E28" s="127">
        <v>0.34375</v>
      </c>
      <c r="F28" s="127">
        <v>0.51041666666666663</v>
      </c>
      <c r="G28" s="227">
        <f t="shared" si="2"/>
        <v>3.9999999999999991</v>
      </c>
      <c r="H28" s="127">
        <v>0.54166666666666663</v>
      </c>
      <c r="I28" s="127">
        <v>0.72916666666666663</v>
      </c>
      <c r="J28" s="227">
        <f t="shared" si="3"/>
        <v>4.5</v>
      </c>
      <c r="K28" s="115">
        <v>8.5</v>
      </c>
      <c r="L28" s="147">
        <f t="shared" si="0"/>
        <v>8.5</v>
      </c>
      <c r="M28" s="205"/>
      <c r="N28" s="250">
        <f t="shared" si="1"/>
        <v>1.9999999999999964</v>
      </c>
      <c r="O28" s="268" t="s">
        <v>300</v>
      </c>
      <c r="P28" s="269">
        <v>4</v>
      </c>
      <c r="Q28" s="269" t="s">
        <v>293</v>
      </c>
      <c r="R28" s="269">
        <v>4.5</v>
      </c>
      <c r="S28" s="269"/>
      <c r="T28" s="269"/>
      <c r="U28" s="269"/>
      <c r="V28" s="180"/>
      <c r="W28" s="157"/>
      <c r="X28" s="158"/>
      <c r="Y28" s="121"/>
      <c r="AD28" s="140">
        <f>AC26/AD26</f>
        <v>1506.8493150684933</v>
      </c>
      <c r="AE28" s="117" t="s">
        <v>268</v>
      </c>
      <c r="AF28" s="260">
        <f>AF26*AD28</f>
        <v>279.21917808219177</v>
      </c>
      <c r="AH28" s="260">
        <f>AH29-AH30</f>
        <v>2.792191780821895</v>
      </c>
      <c r="AI28" s="117" t="s">
        <v>264</v>
      </c>
      <c r="AK28" s="138" t="s">
        <v>285</v>
      </c>
      <c r="AL28" s="263">
        <v>1300</v>
      </c>
      <c r="AN28" s="138" t="s">
        <v>285</v>
      </c>
      <c r="AO28" s="263">
        <v>1850</v>
      </c>
    </row>
    <row r="29" spans="1:41" ht="16.05" customHeight="1" thickTop="1" thickBot="1" x14ac:dyDescent="0.35">
      <c r="A29" s="150"/>
      <c r="B29" s="487"/>
      <c r="C29" s="206" t="s">
        <v>95</v>
      </c>
      <c r="D29" s="207">
        <v>44490</v>
      </c>
      <c r="E29" s="208">
        <v>0.34375</v>
      </c>
      <c r="F29" s="208">
        <v>0.51041666666666663</v>
      </c>
      <c r="G29" s="132">
        <f t="shared" si="2"/>
        <v>3.9999999999999991</v>
      </c>
      <c r="H29" s="208">
        <v>0.54166666666666663</v>
      </c>
      <c r="I29" s="208">
        <v>0.75</v>
      </c>
      <c r="J29" s="132">
        <f t="shared" si="3"/>
        <v>5.0000000000000009</v>
      </c>
      <c r="K29" s="209">
        <v>8.5</v>
      </c>
      <c r="L29" s="210">
        <f t="shared" si="0"/>
        <v>9</v>
      </c>
      <c r="M29" s="211"/>
      <c r="N29" s="249">
        <f t="shared" si="1"/>
        <v>2.4999999999999964</v>
      </c>
      <c r="O29" s="267" t="s">
        <v>298</v>
      </c>
      <c r="P29" s="266">
        <v>9</v>
      </c>
      <c r="Q29" s="266"/>
      <c r="R29" s="266"/>
      <c r="S29" s="266"/>
      <c r="T29" s="266"/>
      <c r="U29" s="266"/>
      <c r="V29" s="215"/>
      <c r="W29" s="214"/>
      <c r="X29" s="216"/>
      <c r="Y29" s="121"/>
      <c r="AE29" s="258"/>
      <c r="AH29" s="260">
        <f>AF28-AC26</f>
        <v>-820.78082191780823</v>
      </c>
      <c r="AI29" s="117" t="s">
        <v>262</v>
      </c>
      <c r="AK29" s="138" t="s">
        <v>286</v>
      </c>
      <c r="AL29" s="263">
        <v>1300</v>
      </c>
      <c r="AN29" s="138" t="s">
        <v>286</v>
      </c>
      <c r="AO29" s="263">
        <v>1850</v>
      </c>
    </row>
    <row r="30" spans="1:41" ht="16.05" customHeight="1" thickTop="1" thickBot="1" x14ac:dyDescent="0.35">
      <c r="A30" s="150"/>
      <c r="B30" s="487"/>
      <c r="C30" s="125" t="s">
        <v>96</v>
      </c>
      <c r="D30" s="207">
        <v>44491</v>
      </c>
      <c r="E30" s="127">
        <v>0.34375</v>
      </c>
      <c r="F30" s="127">
        <v>0.51041666666666663</v>
      </c>
      <c r="G30" s="227">
        <f t="shared" si="2"/>
        <v>3.9999999999999991</v>
      </c>
      <c r="H30" s="127">
        <v>0.54166666666666663</v>
      </c>
      <c r="I30" s="127">
        <v>0.76041666666666663</v>
      </c>
      <c r="J30" s="227">
        <f t="shared" si="3"/>
        <v>5.25</v>
      </c>
      <c r="K30" s="115">
        <v>8</v>
      </c>
      <c r="L30" s="147">
        <f t="shared" si="0"/>
        <v>9.25</v>
      </c>
      <c r="M30" s="205"/>
      <c r="N30" s="250">
        <f t="shared" si="1"/>
        <v>3.7499999999999964</v>
      </c>
      <c r="O30" s="268" t="s">
        <v>171</v>
      </c>
      <c r="P30" s="269">
        <v>9.25</v>
      </c>
      <c r="Q30" s="269"/>
      <c r="R30" s="269"/>
      <c r="S30" s="269"/>
      <c r="T30" s="269"/>
      <c r="U30" s="269"/>
      <c r="V30" s="180"/>
      <c r="W30" s="157"/>
      <c r="X30" s="158"/>
      <c r="Y30" s="121"/>
      <c r="AC30" s="260"/>
      <c r="AD30" s="260"/>
      <c r="AG30" s="259">
        <f>AH30/AC26</f>
        <v>-0.74870273972602741</v>
      </c>
      <c r="AH30" s="261">
        <f>IF(AH27&gt;1,AH29-AH27,AH29-1)</f>
        <v>-823.57301369863012</v>
      </c>
      <c r="AI30" s="117" t="s">
        <v>263</v>
      </c>
      <c r="AK30" s="138" t="s">
        <v>287</v>
      </c>
      <c r="AL30" s="263">
        <v>1500</v>
      </c>
      <c r="AN30" s="138" t="s">
        <v>287</v>
      </c>
      <c r="AO30" s="263">
        <v>4000</v>
      </c>
    </row>
    <row r="31" spans="1:41" ht="1.35" customHeight="1" thickTop="1" thickBot="1" x14ac:dyDescent="0.35">
      <c r="A31" s="150"/>
      <c r="B31" s="185"/>
      <c r="C31" s="143" t="s">
        <v>97</v>
      </c>
      <c r="D31" s="207">
        <v>44492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3.7499999999999964</v>
      </c>
      <c r="O31" s="272"/>
      <c r="P31" s="273"/>
      <c r="Q31" s="273"/>
      <c r="R31" s="273"/>
      <c r="S31" s="273"/>
      <c r="T31" s="273"/>
      <c r="U31" s="273"/>
      <c r="V31" s="181"/>
      <c r="W31" s="162"/>
      <c r="X31" s="164"/>
      <c r="Y31" s="121"/>
      <c r="AK31" s="138" t="s">
        <v>288</v>
      </c>
      <c r="AL31" s="263">
        <v>1850</v>
      </c>
      <c r="AN31" s="138" t="s">
        <v>288</v>
      </c>
      <c r="AO31" s="263">
        <v>5600</v>
      </c>
    </row>
    <row r="32" spans="1:41" ht="1.35" customHeight="1" thickTop="1" thickBot="1" x14ac:dyDescent="0.35">
      <c r="A32" s="150"/>
      <c r="B32" s="185"/>
      <c r="C32" s="143" t="s">
        <v>98</v>
      </c>
      <c r="D32" s="207">
        <v>44493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3.7499999999999964</v>
      </c>
      <c r="O32" s="272"/>
      <c r="P32" s="273"/>
      <c r="Q32" s="273"/>
      <c r="R32" s="273"/>
      <c r="S32" s="273"/>
      <c r="T32" s="273"/>
      <c r="U32" s="273"/>
      <c r="V32" s="181"/>
      <c r="W32" s="162"/>
      <c r="X32" s="164"/>
      <c r="Y32" s="121"/>
      <c r="AK32" s="138" t="s">
        <v>289</v>
      </c>
      <c r="AL32" s="263">
        <v>1850</v>
      </c>
      <c r="AN32" s="138" t="s">
        <v>289</v>
      </c>
      <c r="AO32" s="263">
        <v>5600</v>
      </c>
    </row>
    <row r="33" spans="1:41" ht="16.05" customHeight="1" thickTop="1" thickBot="1" x14ac:dyDescent="0.35">
      <c r="A33" s="150"/>
      <c r="B33" s="487">
        <f>_xlfn.ISOWEEKNUM(D33)</f>
        <v>43</v>
      </c>
      <c r="C33" s="206" t="s">
        <v>99</v>
      </c>
      <c r="D33" s="207">
        <v>44494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3.7499999999999964</v>
      </c>
      <c r="O33" s="267" t="s">
        <v>299</v>
      </c>
      <c r="P33" s="266">
        <v>8.5</v>
      </c>
      <c r="Q33" s="266"/>
      <c r="R33" s="266"/>
      <c r="S33" s="266"/>
      <c r="T33" s="266"/>
      <c r="U33" s="266"/>
      <c r="V33" s="215"/>
      <c r="W33" s="214"/>
      <c r="X33" s="216"/>
      <c r="Y33" s="121"/>
      <c r="AK33" s="138" t="s">
        <v>290</v>
      </c>
      <c r="AL33" s="263">
        <v>1850</v>
      </c>
      <c r="AN33" s="138" t="s">
        <v>290</v>
      </c>
      <c r="AO33" s="263">
        <v>5600</v>
      </c>
    </row>
    <row r="34" spans="1:41" ht="16.05" customHeight="1" thickTop="1" thickBot="1" x14ac:dyDescent="0.35">
      <c r="A34" s="150"/>
      <c r="B34" s="487"/>
      <c r="C34" s="125" t="s">
        <v>93</v>
      </c>
      <c r="D34" s="207">
        <v>44495</v>
      </c>
      <c r="E34" s="127"/>
      <c r="F34" s="127"/>
      <c r="G34" s="227">
        <f t="shared" si="2"/>
        <v>0</v>
      </c>
      <c r="H34" s="127"/>
      <c r="I34" s="127">
        <v>0.35416666666666669</v>
      </c>
      <c r="J34" s="227">
        <f t="shared" si="3"/>
        <v>8.5</v>
      </c>
      <c r="K34" s="115">
        <v>8.5</v>
      </c>
      <c r="L34" s="147">
        <f t="shared" si="0"/>
        <v>8.5</v>
      </c>
      <c r="M34" s="205"/>
      <c r="N34" s="250">
        <f t="shared" si="1"/>
        <v>3.7499999999999964</v>
      </c>
      <c r="O34" s="268" t="s">
        <v>299</v>
      </c>
      <c r="P34" s="269">
        <v>8.5</v>
      </c>
      <c r="Q34" s="269"/>
      <c r="R34" s="269"/>
      <c r="S34" s="269"/>
      <c r="T34" s="269"/>
      <c r="U34" s="269"/>
      <c r="V34" s="180"/>
      <c r="W34" s="157"/>
      <c r="X34" s="158"/>
      <c r="Y34" s="121"/>
      <c r="AC34" s="260">
        <v>1100</v>
      </c>
      <c r="AD34" s="260">
        <v>0.6</v>
      </c>
      <c r="AF34" s="117">
        <v>1.2</v>
      </c>
      <c r="AH34" s="260">
        <f>AH20+AH30</f>
        <v>-1380.4753574486301</v>
      </c>
      <c r="AK34" s="138" t="s">
        <v>291</v>
      </c>
      <c r="AL34" s="263">
        <v>1850</v>
      </c>
      <c r="AN34" s="138" t="s">
        <v>291</v>
      </c>
      <c r="AO34" s="263">
        <v>5600</v>
      </c>
    </row>
    <row r="35" spans="1:41" ht="16.05" customHeight="1" thickTop="1" thickBot="1" x14ac:dyDescent="0.35">
      <c r="A35" s="150"/>
      <c r="B35" s="487"/>
      <c r="C35" s="206" t="s">
        <v>94</v>
      </c>
      <c r="D35" s="207">
        <v>44496</v>
      </c>
      <c r="E35" s="220"/>
      <c r="F35" s="220"/>
      <c r="G35" s="228">
        <f>(F35-E35)*24</f>
        <v>0</v>
      </c>
      <c r="H35" s="220"/>
      <c r="I35" s="220">
        <v>0.35416666666666669</v>
      </c>
      <c r="J35" s="228">
        <f>(I35-H35)*24</f>
        <v>8.5</v>
      </c>
      <c r="K35" s="221">
        <v>8.5</v>
      </c>
      <c r="L35" s="210">
        <f>(F35-E35+I35-H35)*24</f>
        <v>8.5</v>
      </c>
      <c r="M35" s="211"/>
      <c r="N35" s="249">
        <f>IF(L35&gt;0,(L35-K35)+N34,+N34)</f>
        <v>3.7499999999999964</v>
      </c>
      <c r="O35" s="276" t="s">
        <v>299</v>
      </c>
      <c r="P35" s="277">
        <v>8.5</v>
      </c>
      <c r="Q35" s="277"/>
      <c r="R35" s="277"/>
      <c r="S35" s="277"/>
      <c r="T35" s="277"/>
      <c r="U35" s="277"/>
      <c r="V35" s="225"/>
      <c r="W35" s="224"/>
      <c r="X35" s="226"/>
      <c r="Y35" s="121"/>
      <c r="AC35" s="257"/>
      <c r="AL35" s="263"/>
      <c r="AO35" s="263"/>
    </row>
    <row r="36" spans="1:41" ht="16.350000000000001" customHeight="1" thickTop="1" thickBot="1" x14ac:dyDescent="0.35">
      <c r="A36" s="150"/>
      <c r="B36" s="487"/>
      <c r="C36" s="125" t="s">
        <v>13</v>
      </c>
      <c r="D36" s="207">
        <v>44497</v>
      </c>
      <c r="E36" s="127"/>
      <c r="F36" s="127"/>
      <c r="G36" s="227">
        <f t="shared" ref="G36" si="4">(F36-E36)*24</f>
        <v>0</v>
      </c>
      <c r="H36" s="127"/>
      <c r="I36" s="127">
        <v>0.35416666666666669</v>
      </c>
      <c r="J36" s="227">
        <f t="shared" ref="J36" si="5">(I36-H36)*24</f>
        <v>8.5</v>
      </c>
      <c r="K36" s="115">
        <v>8.5</v>
      </c>
      <c r="L36" s="147">
        <f t="shared" ref="L36:L37" si="6">(F36-E36+I36-H36)*24</f>
        <v>8.5</v>
      </c>
      <c r="M36" s="205"/>
      <c r="N36" s="250">
        <f>IF(L36&gt;0,(L36-K36)+N35,+N35)</f>
        <v>3.7499999999999964</v>
      </c>
      <c r="O36" s="278" t="s">
        <v>299</v>
      </c>
      <c r="P36" s="279">
        <v>8.5</v>
      </c>
      <c r="Q36" s="279"/>
      <c r="R36" s="279"/>
      <c r="S36" s="279"/>
      <c r="T36" s="279"/>
      <c r="U36" s="279"/>
      <c r="V36" s="242"/>
      <c r="W36" s="241"/>
      <c r="X36" s="243"/>
      <c r="Y36" s="121"/>
      <c r="AD36" s="140">
        <f>AC34/AD34</f>
        <v>1833.3333333333335</v>
      </c>
      <c r="AE36" s="117" t="s">
        <v>268</v>
      </c>
      <c r="AF36" s="117">
        <f>AD36*AF34</f>
        <v>2200</v>
      </c>
      <c r="AL36" s="263">
        <f>SUM(AL23:AL34)</f>
        <v>18000</v>
      </c>
      <c r="AO36" s="263">
        <f>SUM(AO23:AO34)</f>
        <v>39350</v>
      </c>
    </row>
    <row r="37" spans="1:41" ht="16.350000000000001" customHeight="1" thickTop="1" thickBot="1" x14ac:dyDescent="0.35">
      <c r="B37" s="244"/>
      <c r="C37" s="206" t="s">
        <v>14</v>
      </c>
      <c r="D37" s="207">
        <v>44498</v>
      </c>
      <c r="E37" s="220"/>
      <c r="F37" s="220"/>
      <c r="G37" s="228">
        <f>(F37-E37)*24</f>
        <v>0</v>
      </c>
      <c r="H37" s="220"/>
      <c r="I37" s="220">
        <v>0.33333333333333331</v>
      </c>
      <c r="J37" s="228">
        <f>(I37-H37)*24</f>
        <v>8</v>
      </c>
      <c r="K37" s="221">
        <v>8</v>
      </c>
      <c r="L37" s="147">
        <f t="shared" si="6"/>
        <v>8</v>
      </c>
      <c r="M37" s="222"/>
      <c r="N37" s="249">
        <f>IF(L37&gt;0,(L37-K37)+N36,+N36)</f>
        <v>3.7499999999999964</v>
      </c>
      <c r="O37" s="276" t="s">
        <v>299</v>
      </c>
      <c r="P37" s="277">
        <v>8</v>
      </c>
      <c r="Q37" s="277"/>
      <c r="R37" s="277"/>
      <c r="S37" s="277"/>
      <c r="T37" s="277"/>
      <c r="U37" s="277"/>
      <c r="V37" s="225"/>
      <c r="W37" s="224"/>
      <c r="X37" s="226"/>
      <c r="Y37" s="121"/>
      <c r="AD37" s="117">
        <v>333</v>
      </c>
      <c r="AL37" s="263"/>
    </row>
    <row r="38" spans="1:41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  <c r="AF38" s="140"/>
    </row>
    <row r="39" spans="1:41" ht="15" thickTop="1" thickBot="1" x14ac:dyDescent="0.3">
      <c r="C39" s="138"/>
      <c r="P39" s="139"/>
      <c r="Q39" s="140"/>
      <c r="U39" s="176"/>
    </row>
    <row r="40" spans="1:41" ht="16.8" thickTop="1" thickBot="1" x14ac:dyDescent="0.35">
      <c r="C40" s="491" t="s">
        <v>225</v>
      </c>
      <c r="D40" s="519"/>
      <c r="E40" s="499">
        <f>SUM(E41:E50)</f>
        <v>4.25</v>
      </c>
      <c r="F40" s="500"/>
      <c r="P40" s="138"/>
      <c r="T40" s="176"/>
    </row>
    <row r="41" spans="1:41" ht="14.4" thickTop="1" x14ac:dyDescent="0.25">
      <c r="C41" s="520" t="s">
        <v>227</v>
      </c>
      <c r="D41" s="521"/>
      <c r="E41" s="530">
        <f>SUMIF(O4:O34,"Clair*",P4:P34)+SUMIF(Q4:Q34,"Clair*",R4:R34)+SUMIF(S4:S34,"Clair*",T4:T34)</f>
        <v>4.25</v>
      </c>
      <c r="F41" s="531"/>
      <c r="P41" s="139"/>
      <c r="S41" s="141"/>
      <c r="U41" s="176"/>
    </row>
    <row r="42" spans="1:41" x14ac:dyDescent="0.25">
      <c r="C42" s="495" t="s">
        <v>103</v>
      </c>
      <c r="D42" s="496"/>
      <c r="E42" s="509">
        <f>SUMIF(O6:O38,"=Vac*",P6:P38)+SUMIF(Q6:Q38,"=Vac*",R6:R38)+SUMIF(S6:S38,"=Vac*",T6:T38)</f>
        <v>0</v>
      </c>
      <c r="F42" s="510"/>
      <c r="L42" s="117">
        <f>L9+L12+L13+L14+L15+L16+L19+L20+L21+L22+L23+L26+L27+L28+L29+L30+L33+L34+L35+L36+L37</f>
        <v>179.75</v>
      </c>
      <c r="P42" s="139"/>
      <c r="Q42" s="140"/>
      <c r="U42" s="176"/>
    </row>
    <row r="43" spans="1:41" x14ac:dyDescent="0.25">
      <c r="C43" s="493" t="s">
        <v>226</v>
      </c>
      <c r="D43" s="494"/>
      <c r="E43" s="505">
        <f>SUMIF(O5:O35,"=3607B65",P5:P35)+SUMIF(Q5:Q35,"=3607B65",R5:R35)+SUMIF(S5:S35,"=3607B65",T5:T35)+SUMIF(U5:U35,"=3607B65",V5:V35)</f>
        <v>0</v>
      </c>
      <c r="F43" s="506"/>
      <c r="Q43" s="138"/>
    </row>
    <row r="44" spans="1:41" x14ac:dyDescent="0.25">
      <c r="C44" s="493" t="s">
        <v>245</v>
      </c>
      <c r="D44" s="494"/>
      <c r="E44" s="505">
        <f>SUMIF(O2:O32,"=ONE ROOF",P2:P32)+SUMIF(Q2:Q32,"=ONE ROOF",R2:R32)+SUMIF(S2:S32,"=ONE ROOF",T2:T32)+SUMIF(U2:U32,"=ONE ROOF",V2:V32)</f>
        <v>0</v>
      </c>
      <c r="F44" s="506"/>
    </row>
    <row r="45" spans="1:41" x14ac:dyDescent="0.25">
      <c r="C45" s="493" t="s">
        <v>237</v>
      </c>
      <c r="D45" s="494"/>
      <c r="E45" s="505">
        <f>SUMIF(O5:O35,"12127A01",P5:P35)+SUMIF(Q5:Q35,"12127A01",R5:R35)+SUMIF(S5:S35,"12127A01",T5:T35)</f>
        <v>0</v>
      </c>
      <c r="F45" s="506"/>
    </row>
    <row r="46" spans="1:41" x14ac:dyDescent="0.25">
      <c r="C46" s="493" t="s">
        <v>112</v>
      </c>
      <c r="D46" s="494"/>
      <c r="E46" s="505">
        <f>SUMIF(O7:O39,"12067A02",P7:P39)+SUMIF(Q7:Q39,"12067A02",R7:R39)+SUMIF(S7:S39,"12067A02",T7:T39)</f>
        <v>0</v>
      </c>
      <c r="F46" s="506"/>
    </row>
    <row r="47" spans="1:41" x14ac:dyDescent="0.25">
      <c r="C47" s="493" t="s">
        <v>249</v>
      </c>
      <c r="D47" s="494"/>
      <c r="E47" s="505">
        <f>SUMIF(O6:O38,"Data*",P6:P38)+SUMIF(Q6:Q38,"Data*",R6:R38)+SUMIF(S6:S38,"Data*",T6:T38)</f>
        <v>0</v>
      </c>
      <c r="F47" s="506"/>
    </row>
    <row r="48" spans="1:41" x14ac:dyDescent="0.25">
      <c r="C48" s="493" t="s">
        <v>250</v>
      </c>
      <c r="D48" s="494"/>
      <c r="E48" s="507">
        <f>SUMIF(O5:O35,"=Dnata",P5:P35)+SUMIF(Q5:Q35,"=Dnata",R5:R35)+SUMIF(S5:S35,"=Dnata",T5:T35)</f>
        <v>0</v>
      </c>
      <c r="F48" s="508"/>
    </row>
    <row r="49" spans="3:6" x14ac:dyDescent="0.25">
      <c r="C49" s="493" t="s">
        <v>228</v>
      </c>
      <c r="D49" s="494"/>
      <c r="E49" s="505"/>
      <c r="F49" s="506"/>
    </row>
    <row r="50" spans="3:6" x14ac:dyDescent="0.25">
      <c r="C50" s="493" t="s">
        <v>72</v>
      </c>
      <c r="D50" s="494"/>
      <c r="E50" s="505">
        <f>SUMIF(O5:O35,"=Formation",P5:P35)+SUMIF(Q5:Q35,"=Formation",R5:R35)+SUMIF(S5:S35,"=Formation",T5:T35)+SUMIF(O5:O35,"=CFPC",P5:P35)+SUMIF(Q5:Q35,"=CFPC",R5:R35)+SUMIF(S5:S35,"=CFPC",T5:T35)</f>
        <v>0</v>
      </c>
      <c r="F50" s="506"/>
    </row>
    <row r="51" spans="3:6" ht="14.4" thickBot="1" x14ac:dyDescent="0.3">
      <c r="C51" s="497" t="s">
        <v>244</v>
      </c>
      <c r="D51" s="498"/>
      <c r="E51" s="503">
        <f>SUMIF(O6:O38,"=",P6:P38)+SUMIF(Q6:Q38,"=",R6:R38)+SUMIF(S6:S38,"=",T6:T38)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</row>
    <row r="56" spans="3:6" x14ac:dyDescent="0.25">
      <c r="C56" s="138"/>
    </row>
    <row r="73" spans="4:4" x14ac:dyDescent="0.25">
      <c r="D73" s="142"/>
    </row>
    <row r="74" spans="4:4" x14ac:dyDescent="0.25">
      <c r="D74" s="142"/>
    </row>
    <row r="75" spans="4:4" x14ac:dyDescent="0.25">
      <c r="D75" s="142"/>
    </row>
    <row r="76" spans="4:4" x14ac:dyDescent="0.25">
      <c r="D76" s="142"/>
    </row>
    <row r="77" spans="4:4" x14ac:dyDescent="0.25">
      <c r="D77" s="142"/>
    </row>
    <row r="78" spans="4:4" x14ac:dyDescent="0.25">
      <c r="D78" s="142"/>
    </row>
    <row r="79" spans="4:4" x14ac:dyDescent="0.25">
      <c r="D79" s="142"/>
    </row>
    <row r="80" spans="4:4" x14ac:dyDescent="0.25">
      <c r="D80" s="142"/>
    </row>
    <row r="81" spans="4:4" x14ac:dyDescent="0.25">
      <c r="D81" s="142"/>
    </row>
    <row r="82" spans="4:4" x14ac:dyDescent="0.25">
      <c r="D82" s="142"/>
    </row>
    <row r="83" spans="4:4" x14ac:dyDescent="0.25">
      <c r="D83" s="142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45" priority="3">
      <formula>D5=TODAY()</formula>
    </cfRule>
    <cfRule type="expression" dxfId="44" priority="4">
      <formula>D5&lt;TODAY()</formula>
    </cfRule>
  </conditionalFormatting>
  <dataValidations disablePrompts="1" count="1">
    <dataValidation type="list" allowBlank="1" showInputMessage="1" showErrorMessage="1" sqref="E38 G38" xr:uid="{00000000-0002-0000-0D00-000000000000}">
      <formula1>#REF!</formula1>
    </dataValidation>
  </dataValidations>
  <pageMargins left="0.25" right="0.25" top="0.75" bottom="0.75" header="0.3" footer="0.3"/>
  <pageSetup paperSize="9" scale="75" fitToHeight="0" orientation="landscape" r:id="rId1"/>
  <headerFooter>
    <oddHeader xml:space="preserve">&amp;C
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6">
    <tabColor theme="5" tint="0.59999389629810485"/>
    <pageSetUpPr fitToPage="1"/>
  </sheetPr>
  <dimension ref="A1:AO1048576"/>
  <sheetViews>
    <sheetView showGridLines="0" showZeros="0" showRuler="0" topLeftCell="AB27" zoomScale="115" zoomScaleNormal="115" zoomScaleSheetLayoutView="100" zoomScalePageLayoutView="70" workbookViewId="0">
      <selection activeCell="AF17" sqref="AF17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customWidth="1" outlineLevel="1"/>
    <col min="12" max="12" width="9.296875" style="117" customWidth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9.5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16384" width="11" style="117"/>
  </cols>
  <sheetData>
    <row r="1" spans="1:41" ht="16.5" customHeight="1" thickBot="1" x14ac:dyDescent="0.3">
      <c r="C1" s="176" t="s">
        <v>220</v>
      </c>
      <c r="D1" s="175">
        <f ca="1">TODAY()</f>
        <v>44935</v>
      </c>
    </row>
    <row r="2" spans="1:41" ht="16.350000000000001" customHeight="1" thickTop="1" thickBot="1" x14ac:dyDescent="0.35">
      <c r="B2" s="118"/>
      <c r="C2" s="473" t="s">
        <v>251</v>
      </c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1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K3" s="117">
        <v>2021</v>
      </c>
      <c r="AN3" s="117">
        <v>2022</v>
      </c>
    </row>
    <row r="4" spans="1:41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150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C4" s="117" t="s">
        <v>259</v>
      </c>
      <c r="AD4" s="117" t="s">
        <v>258</v>
      </c>
      <c r="AF4" s="117" t="s">
        <v>260</v>
      </c>
      <c r="AH4" s="117" t="s">
        <v>240</v>
      </c>
      <c r="AK4" s="138"/>
      <c r="AN4" s="138"/>
    </row>
    <row r="5" spans="1:41" ht="16.350000000000001" customHeight="1" thickTop="1" thickBot="1" x14ac:dyDescent="0.35">
      <c r="B5" s="487">
        <f>_xlfn.ISOWEEKNUM(D5)</f>
        <v>44</v>
      </c>
      <c r="C5" s="229" t="s">
        <v>99</v>
      </c>
      <c r="D5" s="207">
        <v>44501</v>
      </c>
      <c r="E5" s="231"/>
      <c r="F5" s="231"/>
      <c r="G5" s="232">
        <f>(F5-E5)*24</f>
        <v>0</v>
      </c>
      <c r="H5" s="231"/>
      <c r="I5" s="231">
        <v>0.35416666666666669</v>
      </c>
      <c r="J5" s="232">
        <f>(I5-H5)*24</f>
        <v>8.5</v>
      </c>
      <c r="K5" s="233">
        <v>8.5</v>
      </c>
      <c r="L5" s="234">
        <f t="shared" ref="L5:L37" si="0">(F5-E5+I5-H5)*24</f>
        <v>8.5</v>
      </c>
      <c r="M5" s="211"/>
      <c r="N5" s="249">
        <f t="shared" ref="N5:N34" si="1">IF(L5&gt;0,(L5-K5)+N4,+N4)</f>
        <v>0</v>
      </c>
      <c r="O5" s="267" t="s">
        <v>216</v>
      </c>
      <c r="P5" s="266">
        <v>8.5</v>
      </c>
      <c r="Q5" s="266"/>
      <c r="R5" s="266"/>
      <c r="S5" s="266"/>
      <c r="T5" s="266"/>
      <c r="U5" s="266"/>
      <c r="V5" s="215"/>
      <c r="W5" s="214"/>
      <c r="X5" s="216"/>
      <c r="Y5" s="121"/>
      <c r="AC5" s="260">
        <v>200</v>
      </c>
      <c r="AD5" s="260">
        <v>15</v>
      </c>
      <c r="AF5" s="260">
        <v>35</v>
      </c>
      <c r="AH5" s="259">
        <v>0.01</v>
      </c>
      <c r="AI5" s="117" t="s">
        <v>261</v>
      </c>
      <c r="AK5" s="138" t="s">
        <v>280</v>
      </c>
      <c r="AL5" s="263">
        <v>745</v>
      </c>
      <c r="AN5" s="138" t="s">
        <v>280</v>
      </c>
      <c r="AO5" s="263">
        <v>1020</v>
      </c>
    </row>
    <row r="6" spans="1:41" ht="16.350000000000001" customHeight="1" thickTop="1" thickBot="1" x14ac:dyDescent="0.35">
      <c r="B6" s="487"/>
      <c r="C6" s="125" t="s">
        <v>93</v>
      </c>
      <c r="D6" s="207">
        <v>44502</v>
      </c>
      <c r="E6" s="127">
        <v>0.34375</v>
      </c>
      <c r="F6" s="127">
        <v>0.51041666666666663</v>
      </c>
      <c r="G6" s="227">
        <f t="shared" ref="G6:G37" si="2">(F6-E6)*24</f>
        <v>3.9999999999999991</v>
      </c>
      <c r="H6" s="127">
        <v>0.54166666666666663</v>
      </c>
      <c r="I6" s="127">
        <v>0.72916666666666663</v>
      </c>
      <c r="J6" s="227">
        <f t="shared" ref="J6:J37" si="3">(I6-H6)*24</f>
        <v>4.5</v>
      </c>
      <c r="K6" s="115">
        <v>8.5</v>
      </c>
      <c r="L6" s="147">
        <f t="shared" si="0"/>
        <v>8.5</v>
      </c>
      <c r="M6" s="205"/>
      <c r="N6" s="250">
        <f t="shared" si="1"/>
        <v>0</v>
      </c>
      <c r="O6" s="268" t="s">
        <v>72</v>
      </c>
      <c r="P6" s="269">
        <v>4.25</v>
      </c>
      <c r="Q6" s="269" t="s">
        <v>75</v>
      </c>
      <c r="R6" s="269">
        <v>4.25</v>
      </c>
      <c r="S6" s="269"/>
      <c r="T6" s="269"/>
      <c r="U6" s="269"/>
      <c r="V6" s="180"/>
      <c r="W6" s="157"/>
      <c r="X6" s="158"/>
      <c r="Y6" s="121"/>
      <c r="AC6" s="257"/>
      <c r="AH6" s="260">
        <f>AF7*AH5</f>
        <v>4.666666666666667</v>
      </c>
      <c r="AK6" s="138" t="s">
        <v>281</v>
      </c>
      <c r="AL6" s="263">
        <v>745</v>
      </c>
      <c r="AN6" s="138" t="s">
        <v>281</v>
      </c>
      <c r="AO6" s="263">
        <v>1020</v>
      </c>
    </row>
    <row r="7" spans="1:41" ht="16.350000000000001" customHeight="1" thickTop="1" thickBot="1" x14ac:dyDescent="0.35">
      <c r="A7" s="150"/>
      <c r="B7" s="487"/>
      <c r="C7" s="206" t="s">
        <v>94</v>
      </c>
      <c r="D7" s="207">
        <v>44503</v>
      </c>
      <c r="E7" s="208">
        <v>0.35416666666666669</v>
      </c>
      <c r="F7" s="208">
        <v>0.51041666666666663</v>
      </c>
      <c r="G7" s="132">
        <f t="shared" si="2"/>
        <v>3.7499999999999987</v>
      </c>
      <c r="H7" s="208">
        <v>0.54166666666666663</v>
      </c>
      <c r="I7" s="208">
        <v>0.73958333333333337</v>
      </c>
      <c r="J7" s="132">
        <f t="shared" si="3"/>
        <v>4.7500000000000018</v>
      </c>
      <c r="K7" s="209">
        <v>8.5</v>
      </c>
      <c r="L7" s="210">
        <f t="shared" si="0"/>
        <v>8.5</v>
      </c>
      <c r="M7" s="211"/>
      <c r="N7" s="249">
        <f t="shared" si="1"/>
        <v>0</v>
      </c>
      <c r="O7" s="267" t="s">
        <v>72</v>
      </c>
      <c r="P7" s="266">
        <v>4.25</v>
      </c>
      <c r="Q7" s="266" t="s">
        <v>75</v>
      </c>
      <c r="R7" s="266">
        <v>4.25</v>
      </c>
      <c r="S7" s="266"/>
      <c r="T7" s="266"/>
      <c r="U7" s="266"/>
      <c r="V7" s="215"/>
      <c r="W7" s="214"/>
      <c r="X7" s="216"/>
      <c r="Y7" s="121"/>
      <c r="AB7" s="257"/>
      <c r="AD7" s="140">
        <f>AC5/AD5</f>
        <v>13.333333333333334</v>
      </c>
      <c r="AE7" s="117" t="s">
        <v>257</v>
      </c>
      <c r="AF7" s="260">
        <f>AF5*AD7</f>
        <v>466.66666666666669</v>
      </c>
      <c r="AH7" s="260">
        <f>AH8-AH9</f>
        <v>4.6666666666666856</v>
      </c>
      <c r="AI7" s="117" t="s">
        <v>264</v>
      </c>
      <c r="AK7" s="138" t="s">
        <v>282</v>
      </c>
      <c r="AL7" s="263">
        <v>745</v>
      </c>
      <c r="AN7" s="138" t="s">
        <v>282</v>
      </c>
      <c r="AO7" s="263">
        <v>1020</v>
      </c>
    </row>
    <row r="8" spans="1:41" ht="16.350000000000001" customHeight="1" thickTop="1" thickBot="1" x14ac:dyDescent="0.35">
      <c r="A8" s="150"/>
      <c r="B8" s="487"/>
      <c r="C8" s="125" t="s">
        <v>95</v>
      </c>
      <c r="D8" s="207">
        <v>44504</v>
      </c>
      <c r="E8" s="127">
        <v>0.34375</v>
      </c>
      <c r="F8" s="127">
        <v>0.51041666666666663</v>
      </c>
      <c r="G8" s="227">
        <f t="shared" si="2"/>
        <v>3.9999999999999991</v>
      </c>
      <c r="H8" s="127">
        <v>0.54166666666666663</v>
      </c>
      <c r="I8" s="127">
        <v>0.72916666666666663</v>
      </c>
      <c r="J8" s="227">
        <f t="shared" si="3"/>
        <v>4.5</v>
      </c>
      <c r="K8" s="115">
        <v>8.5</v>
      </c>
      <c r="L8" s="147">
        <f t="shared" si="0"/>
        <v>8.5</v>
      </c>
      <c r="M8" s="205"/>
      <c r="N8" s="250">
        <f t="shared" si="1"/>
        <v>0</v>
      </c>
      <c r="O8" s="268" t="s">
        <v>72</v>
      </c>
      <c r="P8" s="269">
        <v>4.25</v>
      </c>
      <c r="Q8" s="269" t="s">
        <v>304</v>
      </c>
      <c r="R8" s="269">
        <v>4.25</v>
      </c>
      <c r="S8" s="270"/>
      <c r="T8" s="269"/>
      <c r="U8" s="269"/>
      <c r="V8" s="180"/>
      <c r="W8" s="157"/>
      <c r="X8" s="158"/>
      <c r="Y8" s="121"/>
      <c r="AE8" s="258"/>
      <c r="AH8" s="260">
        <f>AF7-AC5</f>
        <v>266.66666666666669</v>
      </c>
      <c r="AI8" s="117" t="s">
        <v>262</v>
      </c>
      <c r="AK8" s="138" t="s">
        <v>283</v>
      </c>
      <c r="AL8" s="263">
        <v>745</v>
      </c>
      <c r="AN8" s="138" t="s">
        <v>283</v>
      </c>
      <c r="AO8" s="263">
        <v>1020</v>
      </c>
    </row>
    <row r="9" spans="1:41" ht="16.05" customHeight="1" thickTop="1" thickBot="1" x14ac:dyDescent="0.35">
      <c r="A9" s="150"/>
      <c r="B9" s="487"/>
      <c r="C9" s="206" t="s">
        <v>96</v>
      </c>
      <c r="D9" s="207">
        <v>44505</v>
      </c>
      <c r="E9" s="208">
        <v>0.35416666666666669</v>
      </c>
      <c r="F9" s="208">
        <v>0.51041666666666663</v>
      </c>
      <c r="G9" s="132">
        <f t="shared" si="2"/>
        <v>3.7499999999999987</v>
      </c>
      <c r="H9" s="208">
        <v>0.54166666666666663</v>
      </c>
      <c r="I9" s="208">
        <v>0.71875</v>
      </c>
      <c r="J9" s="132">
        <f t="shared" si="3"/>
        <v>4.2500000000000009</v>
      </c>
      <c r="K9" s="209">
        <v>8</v>
      </c>
      <c r="L9" s="210">
        <f t="shared" si="0"/>
        <v>8</v>
      </c>
      <c r="M9" s="211"/>
      <c r="N9" s="249">
        <f t="shared" si="1"/>
        <v>0</v>
      </c>
      <c r="O9" s="267" t="s">
        <v>72</v>
      </c>
      <c r="P9" s="266">
        <v>4</v>
      </c>
      <c r="Q9" s="266" t="s">
        <v>304</v>
      </c>
      <c r="R9" s="266">
        <v>4</v>
      </c>
      <c r="S9" s="266"/>
      <c r="T9" s="266"/>
      <c r="U9" s="271"/>
      <c r="V9" s="215"/>
      <c r="W9" s="214"/>
      <c r="X9" s="216"/>
      <c r="Y9" s="121"/>
      <c r="AG9" s="259">
        <f>AH9/AC5</f>
        <v>1.31</v>
      </c>
      <c r="AH9" s="261">
        <f>IF(AH6&gt;1,AH8-AH6,AH8-1)</f>
        <v>262</v>
      </c>
      <c r="AI9" s="117" t="s">
        <v>263</v>
      </c>
      <c r="AK9" s="138" t="s">
        <v>284</v>
      </c>
      <c r="AL9" s="263">
        <v>745</v>
      </c>
      <c r="AN9" s="138" t="s">
        <v>284</v>
      </c>
      <c r="AO9" s="263">
        <v>1020</v>
      </c>
    </row>
    <row r="10" spans="1:41" ht="1.35" customHeight="1" thickTop="1" thickBot="1" x14ac:dyDescent="0.35">
      <c r="A10" s="150"/>
      <c r="B10" s="122"/>
      <c r="C10" s="143" t="s">
        <v>97</v>
      </c>
      <c r="D10" s="207">
        <v>44506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274"/>
      <c r="V10" s="181"/>
      <c r="W10" s="162"/>
      <c r="X10" s="164"/>
      <c r="Y10" s="121"/>
      <c r="AK10" s="138" t="s">
        <v>285</v>
      </c>
      <c r="AL10" s="263">
        <v>745</v>
      </c>
      <c r="AN10" s="138" t="s">
        <v>285</v>
      </c>
      <c r="AO10" s="263">
        <v>1020</v>
      </c>
    </row>
    <row r="11" spans="1:41" ht="1.35" customHeight="1" thickTop="1" thickBot="1" x14ac:dyDescent="0.35">
      <c r="A11" s="150"/>
      <c r="B11" s="122"/>
      <c r="C11" s="143" t="s">
        <v>98</v>
      </c>
      <c r="D11" s="207">
        <v>44507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274"/>
      <c r="V11" s="181"/>
      <c r="W11" s="163"/>
      <c r="X11" s="164"/>
      <c r="Y11" s="121"/>
      <c r="AK11" s="138" t="s">
        <v>286</v>
      </c>
      <c r="AL11" s="263">
        <v>745</v>
      </c>
      <c r="AN11" s="138" t="s">
        <v>286</v>
      </c>
      <c r="AO11" s="263">
        <v>1020</v>
      </c>
    </row>
    <row r="12" spans="1:41" ht="16.05" customHeight="1" thickTop="1" thickBot="1" x14ac:dyDescent="0.35">
      <c r="A12" s="150"/>
      <c r="B12" s="487">
        <f>_xlfn.ISOWEEKNUM(D12)</f>
        <v>45</v>
      </c>
      <c r="C12" s="125" t="s">
        <v>99</v>
      </c>
      <c r="D12" s="207">
        <v>44508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0</v>
      </c>
      <c r="O12" s="269" t="s">
        <v>216</v>
      </c>
      <c r="P12" s="269">
        <v>8.5</v>
      </c>
      <c r="Q12" s="275"/>
      <c r="R12" s="275"/>
      <c r="S12" s="269"/>
      <c r="T12" s="269"/>
      <c r="U12" s="270"/>
      <c r="V12" s="180"/>
      <c r="W12" s="157"/>
      <c r="X12" s="158"/>
      <c r="Y12" s="121"/>
      <c r="AH12" s="257"/>
      <c r="AK12" s="138" t="s">
        <v>287</v>
      </c>
      <c r="AL12" s="263">
        <v>945</v>
      </c>
      <c r="AN12" s="138" t="s">
        <v>287</v>
      </c>
      <c r="AO12" s="263">
        <v>1150</v>
      </c>
    </row>
    <row r="13" spans="1:41" ht="16.05" customHeight="1" thickTop="1" thickBot="1" x14ac:dyDescent="0.35">
      <c r="A13" s="150"/>
      <c r="B13" s="487"/>
      <c r="C13" s="206" t="s">
        <v>93</v>
      </c>
      <c r="D13" s="207">
        <v>44509</v>
      </c>
      <c r="E13" s="208">
        <v>0.35416666666666669</v>
      </c>
      <c r="F13" s="208">
        <v>0.51041666666666663</v>
      </c>
      <c r="G13" s="132">
        <f t="shared" si="2"/>
        <v>3.7499999999999987</v>
      </c>
      <c r="H13" s="208">
        <v>0.54166666666666663</v>
      </c>
      <c r="I13" s="208">
        <v>0.73958333333333337</v>
      </c>
      <c r="J13" s="132">
        <f t="shared" si="3"/>
        <v>4.7500000000000018</v>
      </c>
      <c r="K13" s="209">
        <v>8.5</v>
      </c>
      <c r="L13" s="210">
        <f t="shared" si="0"/>
        <v>8.5</v>
      </c>
      <c r="M13" s="211"/>
      <c r="N13" s="249">
        <f t="shared" si="1"/>
        <v>0</v>
      </c>
      <c r="O13" s="266" t="s">
        <v>72</v>
      </c>
      <c r="P13" s="266">
        <v>4.25</v>
      </c>
      <c r="Q13" s="266" t="s">
        <v>300</v>
      </c>
      <c r="R13" s="266">
        <v>4.25</v>
      </c>
      <c r="S13" s="271"/>
      <c r="T13" s="266"/>
      <c r="U13" s="271"/>
      <c r="V13" s="215"/>
      <c r="W13" s="217"/>
      <c r="X13" s="219"/>
      <c r="Y13" s="133"/>
      <c r="AK13" s="138" t="s">
        <v>288</v>
      </c>
      <c r="AL13" s="263">
        <v>1020</v>
      </c>
      <c r="AN13" s="138" t="s">
        <v>288</v>
      </c>
      <c r="AO13" s="263">
        <v>1300</v>
      </c>
    </row>
    <row r="14" spans="1:41" ht="16.05" customHeight="1" thickTop="1" thickBot="1" x14ac:dyDescent="0.35">
      <c r="A14" s="150"/>
      <c r="B14" s="487"/>
      <c r="C14" s="125" t="s">
        <v>94</v>
      </c>
      <c r="D14" s="207">
        <v>44510</v>
      </c>
      <c r="E14" s="127">
        <v>0.35416666666666669</v>
      </c>
      <c r="F14" s="127">
        <v>0.51041666666666663</v>
      </c>
      <c r="G14" s="227">
        <f t="shared" si="2"/>
        <v>3.7499999999999987</v>
      </c>
      <c r="H14" s="127">
        <v>0.54166666666666663</v>
      </c>
      <c r="I14" s="127">
        <v>0.73958333333333337</v>
      </c>
      <c r="J14" s="227">
        <f t="shared" si="3"/>
        <v>4.7500000000000018</v>
      </c>
      <c r="K14" s="115">
        <v>8.5</v>
      </c>
      <c r="L14" s="147">
        <f t="shared" si="0"/>
        <v>8.5</v>
      </c>
      <c r="M14" s="205"/>
      <c r="N14" s="250">
        <f t="shared" si="1"/>
        <v>0</v>
      </c>
      <c r="O14" s="269" t="s">
        <v>72</v>
      </c>
      <c r="P14" s="269">
        <v>4.25</v>
      </c>
      <c r="Q14" s="269" t="s">
        <v>300</v>
      </c>
      <c r="R14" s="269">
        <v>4.25</v>
      </c>
      <c r="S14" s="270"/>
      <c r="T14" s="269"/>
      <c r="U14" s="269"/>
      <c r="V14" s="180"/>
      <c r="W14" s="157"/>
      <c r="X14" s="158"/>
      <c r="Y14" s="133"/>
      <c r="AH14" s="257"/>
      <c r="AK14" s="138" t="s">
        <v>289</v>
      </c>
      <c r="AL14" s="263">
        <v>1020</v>
      </c>
      <c r="AN14" s="138" t="s">
        <v>289</v>
      </c>
      <c r="AO14" s="263">
        <v>1300</v>
      </c>
    </row>
    <row r="15" spans="1:41" ht="16.05" customHeight="1" thickTop="1" thickBot="1" x14ac:dyDescent="0.35">
      <c r="A15" s="150"/>
      <c r="B15" s="487"/>
      <c r="C15" s="206" t="s">
        <v>95</v>
      </c>
      <c r="D15" s="207">
        <v>44511</v>
      </c>
      <c r="E15" s="208">
        <v>0.35416666666666669</v>
      </c>
      <c r="F15" s="208">
        <v>0.51041666666666663</v>
      </c>
      <c r="G15" s="132">
        <f t="shared" si="2"/>
        <v>3.7499999999999987</v>
      </c>
      <c r="H15" s="208">
        <v>0.54166666666666663</v>
      </c>
      <c r="I15" s="208">
        <v>0.73958333333333337</v>
      </c>
      <c r="J15" s="132">
        <f t="shared" si="3"/>
        <v>4.7500000000000018</v>
      </c>
      <c r="K15" s="209">
        <v>8.5</v>
      </c>
      <c r="L15" s="210">
        <f t="shared" si="0"/>
        <v>8.5</v>
      </c>
      <c r="M15" s="211"/>
      <c r="N15" s="249">
        <f t="shared" si="1"/>
        <v>0</v>
      </c>
      <c r="O15" s="266" t="s">
        <v>72</v>
      </c>
      <c r="P15" s="266">
        <v>4.25</v>
      </c>
      <c r="Q15" s="266" t="s">
        <v>300</v>
      </c>
      <c r="R15" s="266">
        <v>4.25</v>
      </c>
      <c r="S15" s="265"/>
      <c r="T15" s="265"/>
      <c r="U15" s="266"/>
      <c r="V15" s="215"/>
      <c r="W15" s="214"/>
      <c r="X15" s="216"/>
      <c r="Y15" s="133"/>
      <c r="AC15" s="117" t="s">
        <v>259</v>
      </c>
      <c r="AD15" s="117" t="s">
        <v>258</v>
      </c>
      <c r="AF15" s="117" t="s">
        <v>260</v>
      </c>
      <c r="AH15" s="117" t="s">
        <v>240</v>
      </c>
      <c r="AK15" s="138" t="s">
        <v>290</v>
      </c>
      <c r="AL15" s="263">
        <v>1020</v>
      </c>
      <c r="AN15" s="138" t="s">
        <v>290</v>
      </c>
      <c r="AO15" s="263">
        <v>1300</v>
      </c>
    </row>
    <row r="16" spans="1:41" ht="16.05" customHeight="1" thickTop="1" thickBot="1" x14ac:dyDescent="0.35">
      <c r="A16" s="150"/>
      <c r="B16" s="487"/>
      <c r="C16" s="125" t="s">
        <v>96</v>
      </c>
      <c r="D16" s="207">
        <v>44512</v>
      </c>
      <c r="E16" s="127">
        <v>0.33333333333333331</v>
      </c>
      <c r="F16" s="127">
        <v>0.51041666666666663</v>
      </c>
      <c r="G16" s="227">
        <f t="shared" si="2"/>
        <v>4.25</v>
      </c>
      <c r="H16" s="127">
        <v>0.54166666666666663</v>
      </c>
      <c r="I16" s="127">
        <v>0.70833333333333337</v>
      </c>
      <c r="J16" s="227">
        <f t="shared" si="3"/>
        <v>4.0000000000000018</v>
      </c>
      <c r="K16" s="115">
        <v>8</v>
      </c>
      <c r="L16" s="281">
        <f t="shared" si="0"/>
        <v>8.2500000000000036</v>
      </c>
      <c r="M16" s="205"/>
      <c r="N16" s="250">
        <f t="shared" si="1"/>
        <v>0.25000000000000355</v>
      </c>
      <c r="O16" s="269" t="s">
        <v>72</v>
      </c>
      <c r="P16" s="269">
        <v>4</v>
      </c>
      <c r="Q16" s="269" t="s">
        <v>75</v>
      </c>
      <c r="R16" s="269">
        <v>4.25</v>
      </c>
      <c r="S16" s="270"/>
      <c r="T16" s="269"/>
      <c r="U16" s="269"/>
      <c r="V16" s="180"/>
      <c r="W16" s="157"/>
      <c r="X16" s="158"/>
      <c r="Y16" s="133"/>
      <c r="AC16" s="260">
        <v>650</v>
      </c>
      <c r="AD16" s="260">
        <v>1.28</v>
      </c>
      <c r="AF16" s="260">
        <v>1</v>
      </c>
      <c r="AH16" s="259">
        <v>0.01</v>
      </c>
      <c r="AI16" s="117" t="s">
        <v>261</v>
      </c>
      <c r="AK16" s="138" t="s">
        <v>291</v>
      </c>
      <c r="AL16" s="263">
        <v>1020</v>
      </c>
      <c r="AN16" s="138" t="s">
        <v>291</v>
      </c>
      <c r="AO16" s="263">
        <v>1300</v>
      </c>
    </row>
    <row r="17" spans="1:41" ht="1.35" customHeight="1" thickTop="1" thickBot="1" x14ac:dyDescent="0.35">
      <c r="A17" s="150"/>
      <c r="B17" s="185"/>
      <c r="C17" s="143" t="s">
        <v>97</v>
      </c>
      <c r="D17" s="207">
        <v>44513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50">
        <f t="shared" si="1"/>
        <v>0.25000000000000355</v>
      </c>
      <c r="O17" s="272"/>
      <c r="P17" s="273"/>
      <c r="Q17" s="273"/>
      <c r="R17" s="273"/>
      <c r="S17" s="273"/>
      <c r="T17" s="273"/>
      <c r="U17" s="273"/>
      <c r="V17" s="181"/>
      <c r="W17" s="162"/>
      <c r="X17" s="164"/>
      <c r="Y17" s="133"/>
      <c r="AC17" s="257"/>
      <c r="AH17" s="260">
        <f>AF18*AH16</f>
        <v>5.078125</v>
      </c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207">
        <v>44514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50">
        <f t="shared" si="1"/>
        <v>0.25000000000000355</v>
      </c>
      <c r="O18" s="272"/>
      <c r="P18" s="273"/>
      <c r="Q18" s="273"/>
      <c r="R18" s="273"/>
      <c r="S18" s="274"/>
      <c r="T18" s="273"/>
      <c r="U18" s="273"/>
      <c r="V18" s="181"/>
      <c r="W18" s="162"/>
      <c r="X18" s="164"/>
      <c r="Y18" s="133"/>
      <c r="AD18" s="140">
        <f>AC16/AD16</f>
        <v>507.8125</v>
      </c>
      <c r="AE18" s="117" t="s">
        <v>257</v>
      </c>
      <c r="AF18" s="260">
        <f>AF16*AD18</f>
        <v>507.8125</v>
      </c>
      <c r="AH18" s="260">
        <f>AH19-AH20</f>
        <v>5.078125</v>
      </c>
      <c r="AI18" s="117" t="s">
        <v>264</v>
      </c>
      <c r="AL18" s="263"/>
      <c r="AO18" s="263">
        <f>SUM(AO5:AO16)</f>
        <v>13490</v>
      </c>
    </row>
    <row r="19" spans="1:41" ht="16.05" customHeight="1" thickTop="1" thickBot="1" x14ac:dyDescent="0.35">
      <c r="A19" s="150"/>
      <c r="B19" s="487">
        <f>_xlfn.ISOWEEKNUM(D19)</f>
        <v>46</v>
      </c>
      <c r="C19" s="206" t="s">
        <v>99</v>
      </c>
      <c r="D19" s="207">
        <v>44515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0.25000000000000355</v>
      </c>
      <c r="O19" s="267" t="s">
        <v>216</v>
      </c>
      <c r="P19" s="266">
        <v>8.5</v>
      </c>
      <c r="Q19" s="266"/>
      <c r="R19" s="266"/>
      <c r="S19" s="271"/>
      <c r="T19" s="266"/>
      <c r="U19" s="271"/>
      <c r="V19" s="215"/>
      <c r="W19" s="214"/>
      <c r="X19" s="216"/>
      <c r="Y19" s="133"/>
      <c r="AE19" s="258"/>
      <c r="AH19" s="260">
        <f>AF18-AC16</f>
        <v>-142.1875</v>
      </c>
      <c r="AI19" s="117" t="s">
        <v>262</v>
      </c>
      <c r="AL19" s="263">
        <f>SUM(AL5:AL16)</f>
        <v>10240</v>
      </c>
      <c r="AO19" s="263">
        <f>SUM(AO5:AO16)</f>
        <v>13490</v>
      </c>
    </row>
    <row r="20" spans="1:41" ht="16.05" customHeight="1" thickTop="1" thickBot="1" x14ac:dyDescent="0.35">
      <c r="A20" s="150"/>
      <c r="B20" s="487"/>
      <c r="C20" s="125" t="s">
        <v>93</v>
      </c>
      <c r="D20" s="207">
        <v>44516</v>
      </c>
      <c r="E20" s="127">
        <v>0.34375</v>
      </c>
      <c r="F20" s="127">
        <v>0.51041666666666663</v>
      </c>
      <c r="G20" s="227">
        <f t="shared" si="2"/>
        <v>3.9999999999999991</v>
      </c>
      <c r="H20" s="127">
        <v>0.54166666666666663</v>
      </c>
      <c r="I20" s="127">
        <v>0.72916666666666663</v>
      </c>
      <c r="J20" s="227">
        <f t="shared" si="3"/>
        <v>4.5</v>
      </c>
      <c r="K20" s="115">
        <v>8.5</v>
      </c>
      <c r="L20" s="147">
        <f t="shared" si="0"/>
        <v>8.5</v>
      </c>
      <c r="M20" s="205"/>
      <c r="N20" s="250">
        <f t="shared" si="1"/>
        <v>0.25000000000000355</v>
      </c>
      <c r="O20" s="269" t="s">
        <v>72</v>
      </c>
      <c r="P20" s="269">
        <v>4.25</v>
      </c>
      <c r="Q20" s="269" t="s">
        <v>204</v>
      </c>
      <c r="R20" s="269">
        <v>4.25</v>
      </c>
      <c r="U20" s="269"/>
      <c r="V20" s="180"/>
      <c r="W20" s="157"/>
      <c r="X20" s="158"/>
      <c r="Y20" s="133"/>
      <c r="AD20" s="140">
        <f>AC16/AD16</f>
        <v>507.8125</v>
      </c>
      <c r="AE20" s="117" t="s">
        <v>268</v>
      </c>
      <c r="AF20" s="260">
        <f>AF16*AD20</f>
        <v>507.8125</v>
      </c>
      <c r="AG20" s="259">
        <f>AH20/AC16</f>
        <v>-0.2265625</v>
      </c>
      <c r="AH20" s="261">
        <f>IF(AH17&gt;1,AH19-AH17,AH19-1)</f>
        <v>-147.265625</v>
      </c>
      <c r="AI20" s="117" t="s">
        <v>263</v>
      </c>
    </row>
    <row r="21" spans="1:41" ht="16.05" customHeight="1" thickTop="1" thickBot="1" x14ac:dyDescent="0.35">
      <c r="A21" s="150"/>
      <c r="B21" s="487"/>
      <c r="C21" s="206" t="s">
        <v>94</v>
      </c>
      <c r="D21" s="207">
        <v>44517</v>
      </c>
      <c r="E21" s="208">
        <v>0.34375</v>
      </c>
      <c r="F21" s="208">
        <v>0.51041666666666663</v>
      </c>
      <c r="G21" s="132">
        <f t="shared" si="2"/>
        <v>3.9999999999999991</v>
      </c>
      <c r="H21" s="208">
        <v>0.54166666666666663</v>
      </c>
      <c r="I21" s="208">
        <v>0.72916666666666663</v>
      </c>
      <c r="J21" s="132">
        <f t="shared" si="3"/>
        <v>4.5</v>
      </c>
      <c r="K21" s="209">
        <v>8.5</v>
      </c>
      <c r="L21" s="210">
        <f t="shared" si="0"/>
        <v>8.5</v>
      </c>
      <c r="M21" s="211"/>
      <c r="N21" s="249">
        <f t="shared" si="1"/>
        <v>0.25000000000000355</v>
      </c>
      <c r="O21" s="267" t="s">
        <v>72</v>
      </c>
      <c r="P21" s="266">
        <v>4.25</v>
      </c>
      <c r="Q21" s="266" t="s">
        <v>300</v>
      </c>
      <c r="R21" s="266">
        <v>4.25</v>
      </c>
      <c r="S21" s="266"/>
      <c r="T21" s="266"/>
      <c r="U21" s="266"/>
      <c r="V21" s="215"/>
      <c r="W21" s="214"/>
      <c r="X21" s="216"/>
      <c r="Y21" s="133"/>
      <c r="AK21" s="117">
        <v>2023</v>
      </c>
      <c r="AN21" s="117">
        <v>2024</v>
      </c>
    </row>
    <row r="22" spans="1:41" ht="16.05" customHeight="1" thickTop="1" thickBot="1" x14ac:dyDescent="0.35">
      <c r="A22" s="150"/>
      <c r="B22" s="487"/>
      <c r="C22" s="125" t="s">
        <v>95</v>
      </c>
      <c r="D22" s="207">
        <v>44518</v>
      </c>
      <c r="E22" s="127">
        <v>0.35416666666666669</v>
      </c>
      <c r="F22" s="127">
        <v>0.51041666666666663</v>
      </c>
      <c r="G22" s="227">
        <f t="shared" si="2"/>
        <v>3.7499999999999987</v>
      </c>
      <c r="H22" s="127">
        <v>0.54166666666666663</v>
      </c>
      <c r="I22" s="127">
        <v>0.73958333333333337</v>
      </c>
      <c r="J22" s="227">
        <f t="shared" si="3"/>
        <v>4.7500000000000018</v>
      </c>
      <c r="K22" s="115">
        <v>8.5</v>
      </c>
      <c r="L22" s="147">
        <f t="shared" si="0"/>
        <v>8.5</v>
      </c>
      <c r="M22" s="205"/>
      <c r="N22" s="250">
        <f t="shared" si="1"/>
        <v>0.25000000000000355</v>
      </c>
      <c r="O22" s="268" t="s">
        <v>72</v>
      </c>
      <c r="P22" s="269">
        <v>4.25</v>
      </c>
      <c r="Q22" s="269" t="s">
        <v>300</v>
      </c>
      <c r="R22" s="269">
        <v>4.25</v>
      </c>
      <c r="S22" s="269"/>
      <c r="T22" s="269"/>
      <c r="U22" s="269"/>
      <c r="V22" s="180"/>
      <c r="W22" s="157"/>
      <c r="X22" s="158"/>
      <c r="Y22" s="133"/>
      <c r="AK22" s="138"/>
      <c r="AN22" s="138"/>
    </row>
    <row r="23" spans="1:41" ht="16.05" customHeight="1" thickTop="1" thickBot="1" x14ac:dyDescent="0.35">
      <c r="A23" s="150"/>
      <c r="B23" s="487"/>
      <c r="C23" s="206" t="s">
        <v>96</v>
      </c>
      <c r="D23" s="207">
        <v>44519</v>
      </c>
      <c r="E23" s="208">
        <v>0.35416666666666669</v>
      </c>
      <c r="F23" s="208">
        <v>0.51041666666666663</v>
      </c>
      <c r="G23" s="132">
        <f t="shared" si="2"/>
        <v>3.7499999999999987</v>
      </c>
      <c r="H23" s="208">
        <v>0.54166666666666663</v>
      </c>
      <c r="I23" s="208">
        <v>0.77083333333333337</v>
      </c>
      <c r="J23" s="132">
        <f t="shared" si="3"/>
        <v>5.5000000000000018</v>
      </c>
      <c r="K23" s="209">
        <v>8</v>
      </c>
      <c r="L23" s="210">
        <f t="shared" si="0"/>
        <v>9.25</v>
      </c>
      <c r="M23" s="211"/>
      <c r="N23" s="249">
        <f t="shared" si="1"/>
        <v>1.5000000000000036</v>
      </c>
      <c r="O23" s="267" t="s">
        <v>300</v>
      </c>
      <c r="P23" s="266">
        <v>5.25</v>
      </c>
      <c r="Q23" s="266" t="s">
        <v>72</v>
      </c>
      <c r="R23" s="266">
        <v>4</v>
      </c>
      <c r="S23" s="266"/>
      <c r="T23" s="266"/>
      <c r="U23" s="266"/>
      <c r="V23" s="215"/>
      <c r="W23" s="214"/>
      <c r="X23" s="216"/>
      <c r="Y23" s="133"/>
      <c r="AC23" s="117" t="s">
        <v>259</v>
      </c>
      <c r="AD23" s="117" t="s">
        <v>258</v>
      </c>
      <c r="AF23" s="117" t="s">
        <v>260</v>
      </c>
      <c r="AH23" s="117" t="s">
        <v>240</v>
      </c>
      <c r="AK23" s="138" t="s">
        <v>280</v>
      </c>
      <c r="AL23" s="263">
        <v>1300</v>
      </c>
      <c r="AN23" s="138" t="s">
        <v>280</v>
      </c>
      <c r="AO23" s="263">
        <v>1850</v>
      </c>
    </row>
    <row r="24" spans="1:41" ht="1.35" customHeight="1" thickTop="1" thickBot="1" x14ac:dyDescent="0.35">
      <c r="A24" s="150"/>
      <c r="B24" s="185"/>
      <c r="C24" s="143" t="s">
        <v>97</v>
      </c>
      <c r="D24" s="207">
        <v>44520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1.5000000000000036</v>
      </c>
      <c r="O24" s="272"/>
      <c r="P24" s="273"/>
      <c r="Q24" s="273"/>
      <c r="R24" s="273"/>
      <c r="S24" s="273"/>
      <c r="T24" s="273"/>
      <c r="U24" s="273"/>
      <c r="V24" s="181"/>
      <c r="W24" s="162"/>
      <c r="X24" s="164"/>
      <c r="Y24" s="133"/>
      <c r="AK24" s="138" t="s">
        <v>281</v>
      </c>
      <c r="AL24" s="263">
        <v>1300</v>
      </c>
      <c r="AN24" s="138" t="s">
        <v>281</v>
      </c>
      <c r="AO24" s="263">
        <v>1850</v>
      </c>
    </row>
    <row r="25" spans="1:41" ht="1.35" customHeight="1" thickTop="1" thickBot="1" x14ac:dyDescent="0.35">
      <c r="A25" s="150"/>
      <c r="B25" s="185"/>
      <c r="C25" s="143" t="s">
        <v>98</v>
      </c>
      <c r="D25" s="207">
        <v>44521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1.5000000000000036</v>
      </c>
      <c r="O25" s="272"/>
      <c r="P25" s="273"/>
      <c r="Q25" s="273"/>
      <c r="R25" s="273"/>
      <c r="S25" s="273"/>
      <c r="T25" s="273"/>
      <c r="U25" s="273"/>
      <c r="V25" s="181"/>
      <c r="W25" s="162"/>
      <c r="X25" s="164"/>
      <c r="Y25" s="133"/>
      <c r="AK25" s="138" t="s">
        <v>282</v>
      </c>
      <c r="AL25" s="263">
        <v>1300</v>
      </c>
      <c r="AN25" s="138" t="s">
        <v>282</v>
      </c>
      <c r="AO25" s="263">
        <v>1850</v>
      </c>
    </row>
    <row r="26" spans="1:41" ht="16.05" customHeight="1" thickTop="1" thickBot="1" x14ac:dyDescent="0.35">
      <c r="A26" s="150"/>
      <c r="B26" s="487">
        <f>_xlfn.ISOWEEKNUM(D26)</f>
        <v>47</v>
      </c>
      <c r="C26" s="125" t="s">
        <v>99</v>
      </c>
      <c r="D26" s="207">
        <v>44522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1.5000000000000036</v>
      </c>
      <c r="O26" s="268" t="s">
        <v>216</v>
      </c>
      <c r="P26" s="269">
        <v>8.5</v>
      </c>
      <c r="Q26" s="269"/>
      <c r="R26" s="269"/>
      <c r="S26" s="269"/>
      <c r="T26" s="269"/>
      <c r="U26" s="269"/>
      <c r="V26" s="180"/>
      <c r="W26" s="157"/>
      <c r="X26" s="158"/>
      <c r="Y26" s="133"/>
      <c r="AC26" s="260">
        <v>350</v>
      </c>
      <c r="AD26" s="260">
        <v>0.8</v>
      </c>
      <c r="AF26" s="260">
        <f>AF16</f>
        <v>1</v>
      </c>
      <c r="AH26" s="259">
        <v>0.01</v>
      </c>
      <c r="AI26" s="117" t="s">
        <v>261</v>
      </c>
      <c r="AK26" s="138" t="s">
        <v>283</v>
      </c>
      <c r="AL26" s="263">
        <v>1300</v>
      </c>
      <c r="AN26" s="138" t="s">
        <v>283</v>
      </c>
      <c r="AO26" s="263">
        <v>1850</v>
      </c>
    </row>
    <row r="27" spans="1:41" ht="16.05" customHeight="1" thickTop="1" thickBot="1" x14ac:dyDescent="0.35">
      <c r="A27" s="150"/>
      <c r="B27" s="487"/>
      <c r="C27" s="206" t="s">
        <v>93</v>
      </c>
      <c r="D27" s="207">
        <v>44523</v>
      </c>
      <c r="E27" s="208">
        <v>0.34375</v>
      </c>
      <c r="F27" s="208">
        <v>0.51041666666666663</v>
      </c>
      <c r="G27" s="132">
        <f t="shared" si="2"/>
        <v>3.9999999999999991</v>
      </c>
      <c r="H27" s="208">
        <v>0.54166666666666663</v>
      </c>
      <c r="I27" s="208">
        <v>0.72916666666666663</v>
      </c>
      <c r="J27" s="132">
        <f t="shared" si="3"/>
        <v>4.5</v>
      </c>
      <c r="K27" s="209">
        <v>8.5</v>
      </c>
      <c r="L27" s="210">
        <f t="shared" si="0"/>
        <v>8.5</v>
      </c>
      <c r="M27" s="211"/>
      <c r="N27" s="249">
        <f t="shared" si="1"/>
        <v>1.5000000000000036</v>
      </c>
      <c r="O27" s="267" t="s">
        <v>204</v>
      </c>
      <c r="P27" s="266">
        <v>4.25</v>
      </c>
      <c r="Q27" s="266" t="s">
        <v>72</v>
      </c>
      <c r="R27" s="266">
        <v>4.25</v>
      </c>
      <c r="S27" s="266"/>
      <c r="T27" s="266"/>
      <c r="U27" s="266"/>
      <c r="V27" s="215"/>
      <c r="W27" s="214"/>
      <c r="X27" s="216"/>
      <c r="Y27" s="121"/>
      <c r="AC27" s="257"/>
      <c r="AH27" s="260">
        <f>AF28*AH26</f>
        <v>4.375</v>
      </c>
      <c r="AK27" s="138" t="s">
        <v>284</v>
      </c>
      <c r="AL27" s="263">
        <v>1300</v>
      </c>
      <c r="AN27" s="138" t="s">
        <v>284</v>
      </c>
      <c r="AO27" s="263">
        <v>1850</v>
      </c>
    </row>
    <row r="28" spans="1:41" ht="16.05" customHeight="1" thickTop="1" thickBot="1" x14ac:dyDescent="0.35">
      <c r="A28" s="150"/>
      <c r="B28" s="487"/>
      <c r="C28" s="125" t="s">
        <v>94</v>
      </c>
      <c r="D28" s="207">
        <v>44524</v>
      </c>
      <c r="E28" s="127">
        <v>0.35416666666666669</v>
      </c>
      <c r="F28" s="127">
        <v>0.51041666666666663</v>
      </c>
      <c r="G28" s="227">
        <f t="shared" si="2"/>
        <v>3.7499999999999987</v>
      </c>
      <c r="H28" s="127">
        <v>0.54166666666666663</v>
      </c>
      <c r="I28" s="127">
        <v>0.73958333333333337</v>
      </c>
      <c r="J28" s="227">
        <f t="shared" si="3"/>
        <v>4.7500000000000018</v>
      </c>
      <c r="K28" s="115">
        <v>8.5</v>
      </c>
      <c r="L28" s="147">
        <f t="shared" si="0"/>
        <v>8.5</v>
      </c>
      <c r="M28" s="205"/>
      <c r="N28" s="250">
        <f t="shared" si="1"/>
        <v>1.5000000000000036</v>
      </c>
      <c r="O28" s="268" t="s">
        <v>139</v>
      </c>
      <c r="P28" s="269">
        <v>4.25</v>
      </c>
      <c r="Q28" s="269" t="s">
        <v>72</v>
      </c>
      <c r="R28" s="269">
        <v>4.25</v>
      </c>
      <c r="S28" s="269"/>
      <c r="T28" s="269"/>
      <c r="U28" s="269"/>
      <c r="V28" s="180"/>
      <c r="W28" s="157"/>
      <c r="X28" s="158"/>
      <c r="Y28" s="121"/>
      <c r="AD28" s="140">
        <f>AC26/AD26</f>
        <v>437.5</v>
      </c>
      <c r="AE28" s="117" t="s">
        <v>268</v>
      </c>
      <c r="AF28" s="260">
        <f>AF26*AD28</f>
        <v>437.5</v>
      </c>
      <c r="AH28" s="260">
        <f>AH29-AH30</f>
        <v>4.375</v>
      </c>
      <c r="AI28" s="117" t="s">
        <v>264</v>
      </c>
      <c r="AK28" s="138" t="s">
        <v>285</v>
      </c>
      <c r="AL28" s="263">
        <v>1300</v>
      </c>
      <c r="AN28" s="138" t="s">
        <v>285</v>
      </c>
      <c r="AO28" s="263">
        <v>1850</v>
      </c>
    </row>
    <row r="29" spans="1:41" ht="16.05" customHeight="1" thickTop="1" thickBot="1" x14ac:dyDescent="0.35">
      <c r="A29" s="150"/>
      <c r="B29" s="487"/>
      <c r="C29" s="206" t="s">
        <v>95</v>
      </c>
      <c r="D29" s="207">
        <v>44525</v>
      </c>
      <c r="E29" s="208">
        <v>0.35416666666666669</v>
      </c>
      <c r="F29" s="208">
        <v>0.51041666666666663</v>
      </c>
      <c r="G29" s="132">
        <f t="shared" si="2"/>
        <v>3.7499999999999987</v>
      </c>
      <c r="H29" s="208">
        <v>0.54166666666666663</v>
      </c>
      <c r="I29" s="208">
        <v>0.73958333333333337</v>
      </c>
      <c r="J29" s="132">
        <f t="shared" si="3"/>
        <v>4.7500000000000018</v>
      </c>
      <c r="K29" s="209">
        <v>8.5</v>
      </c>
      <c r="L29" s="210">
        <f t="shared" si="0"/>
        <v>8.5</v>
      </c>
      <c r="M29" s="211"/>
      <c r="N29" s="249">
        <f t="shared" si="1"/>
        <v>1.5000000000000036</v>
      </c>
      <c r="O29" s="267" t="s">
        <v>72</v>
      </c>
      <c r="P29" s="266">
        <v>4.25</v>
      </c>
      <c r="Q29" s="266" t="s">
        <v>204</v>
      </c>
      <c r="R29" s="266">
        <v>4.25</v>
      </c>
      <c r="S29" s="266"/>
      <c r="T29" s="266"/>
      <c r="U29" s="266"/>
      <c r="V29" s="215"/>
      <c r="W29" s="214"/>
      <c r="X29" s="216"/>
      <c r="Y29" s="121"/>
      <c r="AE29" s="258"/>
      <c r="AH29" s="260">
        <f>AF28-AC26</f>
        <v>87.5</v>
      </c>
      <c r="AI29" s="117" t="s">
        <v>262</v>
      </c>
      <c r="AK29" s="138" t="s">
        <v>286</v>
      </c>
      <c r="AL29" s="263">
        <v>1300</v>
      </c>
      <c r="AN29" s="138" t="s">
        <v>286</v>
      </c>
      <c r="AO29" s="263">
        <v>1850</v>
      </c>
    </row>
    <row r="30" spans="1:41" ht="16.05" customHeight="1" thickTop="1" thickBot="1" x14ac:dyDescent="0.35">
      <c r="A30" s="150"/>
      <c r="B30" s="487"/>
      <c r="C30" s="125" t="s">
        <v>96</v>
      </c>
      <c r="D30" s="207">
        <v>44526</v>
      </c>
      <c r="E30" s="127">
        <v>0.34375</v>
      </c>
      <c r="F30" s="127">
        <v>0.51041666666666663</v>
      </c>
      <c r="G30" s="227">
        <f t="shared" si="2"/>
        <v>3.9999999999999991</v>
      </c>
      <c r="H30" s="127">
        <v>0.54166666666666663</v>
      </c>
      <c r="I30" s="127">
        <v>0.72916666666666663</v>
      </c>
      <c r="J30" s="227">
        <f t="shared" si="3"/>
        <v>4.5</v>
      </c>
      <c r="K30" s="115">
        <v>8</v>
      </c>
      <c r="L30" s="147">
        <f t="shared" si="0"/>
        <v>8.5</v>
      </c>
      <c r="M30" s="205"/>
      <c r="N30" s="250">
        <f t="shared" si="1"/>
        <v>2.0000000000000036</v>
      </c>
      <c r="O30" s="268" t="s">
        <v>72</v>
      </c>
      <c r="P30" s="269">
        <v>4</v>
      </c>
      <c r="Q30" s="269" t="s">
        <v>327</v>
      </c>
      <c r="R30" s="269">
        <v>4.5</v>
      </c>
      <c r="S30" s="269"/>
      <c r="T30" s="269"/>
      <c r="U30" s="269"/>
      <c r="V30" s="180"/>
      <c r="W30" s="157"/>
      <c r="X30" s="158"/>
      <c r="Y30" s="121"/>
      <c r="AG30" s="259">
        <f>AH30/AC26</f>
        <v>0.23749999999999999</v>
      </c>
      <c r="AH30" s="261">
        <f>IF(AH27&gt;1,AH29-AH27,AH29-1)</f>
        <v>83.125</v>
      </c>
      <c r="AI30" s="117" t="s">
        <v>263</v>
      </c>
      <c r="AK30" s="138" t="s">
        <v>287</v>
      </c>
      <c r="AL30" s="263">
        <v>1500</v>
      </c>
      <c r="AN30" s="138" t="s">
        <v>287</v>
      </c>
      <c r="AO30" s="263"/>
    </row>
    <row r="31" spans="1:41" ht="1.35" customHeight="1" thickTop="1" thickBot="1" x14ac:dyDescent="0.35">
      <c r="A31" s="150"/>
      <c r="B31" s="185"/>
      <c r="C31" s="143" t="s">
        <v>97</v>
      </c>
      <c r="D31" s="207">
        <v>44527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2.0000000000000036</v>
      </c>
      <c r="O31" s="272"/>
      <c r="P31" s="273"/>
      <c r="Q31" s="273"/>
      <c r="R31" s="273"/>
      <c r="S31" s="273"/>
      <c r="T31" s="273"/>
      <c r="U31" s="273"/>
      <c r="V31" s="181"/>
      <c r="W31" s="162"/>
      <c r="X31" s="164"/>
      <c r="Y31" s="121"/>
      <c r="AK31" s="138" t="s">
        <v>288</v>
      </c>
      <c r="AL31" s="263">
        <v>1850</v>
      </c>
      <c r="AN31" s="138" t="s">
        <v>288</v>
      </c>
      <c r="AO31" s="263"/>
    </row>
    <row r="32" spans="1:41" ht="1.35" customHeight="1" thickTop="1" thickBot="1" x14ac:dyDescent="0.35">
      <c r="A32" s="150"/>
      <c r="B32" s="185"/>
      <c r="C32" s="143" t="s">
        <v>98</v>
      </c>
      <c r="D32" s="207">
        <v>44528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2.0000000000000036</v>
      </c>
      <c r="O32" s="272"/>
      <c r="P32" s="273"/>
      <c r="Q32" s="273"/>
      <c r="R32" s="273"/>
      <c r="S32" s="273"/>
      <c r="T32" s="273"/>
      <c r="U32" s="273"/>
      <c r="V32" s="181"/>
      <c r="W32" s="162"/>
      <c r="X32" s="164"/>
      <c r="Y32" s="121"/>
      <c r="AK32" s="138" t="s">
        <v>289</v>
      </c>
      <c r="AL32" s="263">
        <v>1850</v>
      </c>
      <c r="AN32" s="138" t="s">
        <v>289</v>
      </c>
      <c r="AO32" s="263"/>
    </row>
    <row r="33" spans="1:41" ht="16.05" customHeight="1" thickTop="1" thickBot="1" x14ac:dyDescent="0.35">
      <c r="A33" s="150"/>
      <c r="B33" s="487">
        <f>_xlfn.ISOWEEKNUM(D33)</f>
        <v>48</v>
      </c>
      <c r="C33" s="206" t="s">
        <v>99</v>
      </c>
      <c r="D33" s="207">
        <v>44529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2.0000000000000036</v>
      </c>
      <c r="O33" s="267" t="s">
        <v>216</v>
      </c>
      <c r="P33" s="266">
        <v>8.5</v>
      </c>
      <c r="Q33" s="266"/>
      <c r="R33" s="266"/>
      <c r="S33" s="266"/>
      <c r="T33" s="266"/>
      <c r="U33" s="266"/>
      <c r="V33" s="215"/>
      <c r="W33" s="214"/>
      <c r="X33" s="216"/>
      <c r="Y33" s="121"/>
      <c r="AK33" s="138" t="s">
        <v>290</v>
      </c>
      <c r="AL33" s="263">
        <v>1850</v>
      </c>
      <c r="AN33" s="138" t="s">
        <v>290</v>
      </c>
      <c r="AO33" s="263"/>
    </row>
    <row r="34" spans="1:41" ht="16.05" customHeight="1" thickTop="1" thickBot="1" x14ac:dyDescent="0.35">
      <c r="A34" s="150"/>
      <c r="B34" s="487"/>
      <c r="C34" s="125" t="s">
        <v>93</v>
      </c>
      <c r="D34" s="207">
        <v>44530</v>
      </c>
      <c r="E34" s="127">
        <v>0.34375</v>
      </c>
      <c r="F34" s="282">
        <v>0.51041666666666663</v>
      </c>
      <c r="G34" s="227">
        <f t="shared" si="2"/>
        <v>3.9999999999999991</v>
      </c>
      <c r="H34" s="282">
        <v>0.54166666666666663</v>
      </c>
      <c r="I34" s="127">
        <v>0.72916666666666663</v>
      </c>
      <c r="J34" s="227">
        <f t="shared" si="3"/>
        <v>4.5</v>
      </c>
      <c r="K34" s="115">
        <v>8.5</v>
      </c>
      <c r="L34" s="286">
        <f t="shared" si="0"/>
        <v>8.5</v>
      </c>
      <c r="M34" s="205"/>
      <c r="N34" s="250">
        <f t="shared" si="1"/>
        <v>2.0000000000000036</v>
      </c>
      <c r="O34" s="268" t="s">
        <v>146</v>
      </c>
      <c r="P34" s="269">
        <v>4.25</v>
      </c>
      <c r="Q34" s="269" t="s">
        <v>204</v>
      </c>
      <c r="R34" s="269">
        <v>4.25</v>
      </c>
      <c r="S34" s="269"/>
      <c r="T34" s="269"/>
      <c r="U34" s="269"/>
      <c r="V34" s="180"/>
      <c r="W34" s="157"/>
      <c r="X34" s="158"/>
      <c r="Y34" s="121"/>
      <c r="AH34" s="260"/>
      <c r="AK34" s="138" t="s">
        <v>291</v>
      </c>
      <c r="AL34" s="263">
        <v>1850</v>
      </c>
      <c r="AN34" s="138" t="s">
        <v>291</v>
      </c>
      <c r="AO34" s="263"/>
    </row>
    <row r="35" spans="1:41" ht="16.05" customHeight="1" thickTop="1" thickBot="1" x14ac:dyDescent="0.35">
      <c r="A35" s="150"/>
      <c r="B35" s="487"/>
      <c r="C35" s="206"/>
      <c r="D35" s="207"/>
      <c r="E35" s="220"/>
      <c r="F35" s="220"/>
      <c r="G35" s="132">
        <f t="shared" si="2"/>
        <v>0</v>
      </c>
      <c r="H35" s="220"/>
      <c r="I35" s="220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2.0000000000000036</v>
      </c>
      <c r="O35" s="276"/>
      <c r="P35" s="277"/>
      <c r="Q35" s="277"/>
      <c r="R35" s="277"/>
      <c r="S35" s="277"/>
      <c r="T35" s="277"/>
      <c r="U35" s="277"/>
      <c r="V35" s="225"/>
      <c r="W35" s="224"/>
      <c r="X35" s="226"/>
      <c r="Y35" s="121"/>
      <c r="AC35" s="117" t="s">
        <v>259</v>
      </c>
      <c r="AD35" s="117" t="s">
        <v>258</v>
      </c>
      <c r="AF35" s="117" t="s">
        <v>260</v>
      </c>
      <c r="AH35" s="117" t="s">
        <v>240</v>
      </c>
      <c r="AL35" s="263"/>
      <c r="AO35" s="263"/>
    </row>
    <row r="36" spans="1:41" ht="16.350000000000001" customHeight="1" thickTop="1" thickBot="1" x14ac:dyDescent="0.35">
      <c r="A36" s="150"/>
      <c r="B36" s="487"/>
      <c r="C36" s="125"/>
      <c r="D36" s="207"/>
      <c r="E36" s="127"/>
      <c r="F36" s="282"/>
      <c r="G36" s="227">
        <f t="shared" si="2"/>
        <v>0</v>
      </c>
      <c r="H36" s="282"/>
      <c r="I36" s="127"/>
      <c r="J36" s="227">
        <f t="shared" si="3"/>
        <v>0</v>
      </c>
      <c r="K36" s="115">
        <v>8.5</v>
      </c>
      <c r="L36" s="281">
        <f t="shared" si="0"/>
        <v>0</v>
      </c>
      <c r="M36" s="205"/>
      <c r="N36" s="250">
        <f>IF(L36&gt;0,(L36-K36)+N35,+N35)</f>
        <v>2.0000000000000036</v>
      </c>
      <c r="O36" s="278"/>
      <c r="P36" s="279"/>
      <c r="Q36" s="279"/>
      <c r="R36" s="279"/>
      <c r="S36" s="279"/>
      <c r="T36" s="279"/>
      <c r="U36" s="279"/>
      <c r="V36" s="242"/>
      <c r="W36" s="241"/>
      <c r="X36" s="243"/>
      <c r="Y36" s="121"/>
      <c r="AL36" s="263">
        <f>SUM(AL23:AL34)</f>
        <v>18000</v>
      </c>
      <c r="AO36" s="263">
        <f>SUM(AO23:AO34)</f>
        <v>12950</v>
      </c>
    </row>
    <row r="37" spans="1:41" ht="16.350000000000001" customHeight="1" thickTop="1" thickBot="1" x14ac:dyDescent="0.35">
      <c r="B37" s="244"/>
      <c r="C37" s="206"/>
      <c r="D37" s="207"/>
      <c r="E37" s="220"/>
      <c r="F37" s="220"/>
      <c r="G37" s="132">
        <f t="shared" si="2"/>
        <v>0</v>
      </c>
      <c r="H37" s="220"/>
      <c r="I37" s="220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2.0000000000000036</v>
      </c>
      <c r="O37" s="276"/>
      <c r="P37" s="277"/>
      <c r="Q37" s="277"/>
      <c r="R37" s="277"/>
      <c r="S37" s="277"/>
      <c r="T37" s="277"/>
      <c r="U37" s="277"/>
      <c r="V37" s="225"/>
      <c r="W37" s="224"/>
      <c r="X37" s="226"/>
      <c r="Y37" s="121"/>
      <c r="AL37" s="263"/>
    </row>
    <row r="38" spans="1:41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L5+L6+L7+L8+L9+L12+L13+L14+L15+L16+L19+L20+L21+L22+L23+L26+L27+L28+L29+L30+L33+L34</f>
        <v>187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  <c r="AC38" s="260">
        <v>200</v>
      </c>
      <c r="AD38" s="435">
        <v>0.4</v>
      </c>
      <c r="AF38" s="260">
        <f>AF26</f>
        <v>1</v>
      </c>
      <c r="AH38" s="259">
        <v>0.01</v>
      </c>
      <c r="AI38" s="117" t="s">
        <v>261</v>
      </c>
    </row>
    <row r="39" spans="1:41" ht="15" thickTop="1" thickBot="1" x14ac:dyDescent="0.3">
      <c r="C39" s="138"/>
      <c r="P39" s="139"/>
      <c r="Q39" s="140"/>
      <c r="U39" s="176"/>
      <c r="AC39" s="257"/>
      <c r="AH39" s="260">
        <f>AF40*AH38</f>
        <v>5</v>
      </c>
    </row>
    <row r="40" spans="1:41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S40" s="117">
        <v>225.5</v>
      </c>
      <c r="T40" s="176"/>
      <c r="AD40" s="140">
        <f>AC38/AD38</f>
        <v>500</v>
      </c>
      <c r="AE40" s="117" t="s">
        <v>268</v>
      </c>
      <c r="AF40" s="260">
        <f>AF38*AD40</f>
        <v>500</v>
      </c>
      <c r="AH40" s="260">
        <f>AH41-AH42</f>
        <v>5</v>
      </c>
      <c r="AI40" s="117" t="s">
        <v>264</v>
      </c>
    </row>
    <row r="41" spans="1:41" ht="14.4" thickTop="1" x14ac:dyDescent="0.25">
      <c r="C41" s="520" t="s">
        <v>227</v>
      </c>
      <c r="D41" s="521"/>
      <c r="E41" s="530">
        <f>SUMIF(O5:O37,"Clair*",P5:P37)+SUMIF(Q5:Q37,"Clair*",R5:R37)+SUMIF(S5:S37,"Clair*",T5:T37)</f>
        <v>0</v>
      </c>
      <c r="F41" s="531"/>
      <c r="P41" s="139"/>
      <c r="S41" s="117">
        <v>168</v>
      </c>
      <c r="U41" s="176"/>
      <c r="AE41" s="258"/>
      <c r="AH41" s="260">
        <f>AF40-AC38</f>
        <v>300</v>
      </c>
      <c r="AI41" s="117" t="s">
        <v>262</v>
      </c>
    </row>
    <row r="42" spans="1:41" x14ac:dyDescent="0.25">
      <c r="C42" s="495" t="s">
        <v>103</v>
      </c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T42" s="117">
        <v>42</v>
      </c>
      <c r="U42" s="176"/>
      <c r="AG42" s="259">
        <f>AH42/AC38</f>
        <v>1.4750000000000001</v>
      </c>
      <c r="AH42" s="261">
        <f>IF(AH39&gt;1,AH41-AH39,AH41-1)</f>
        <v>295</v>
      </c>
      <c r="AI42" s="117" t="s">
        <v>263</v>
      </c>
    </row>
    <row r="43" spans="1:41" x14ac:dyDescent="0.25">
      <c r="C43" s="493" t="s">
        <v>226</v>
      </c>
      <c r="D43" s="494"/>
      <c r="E43" s="505">
        <f>SUMIF(O5:O37,"Clair*",P5:P37)+SUMIF(Q5:Q37,"Clair*",R5:R37)+SUMIF(S5:S37,"Clair*",T5:T37)</f>
        <v>0</v>
      </c>
      <c r="F43" s="506"/>
      <c r="T43" s="117">
        <v>8</v>
      </c>
    </row>
    <row r="44" spans="1:41" x14ac:dyDescent="0.25">
      <c r="C44" s="493" t="s">
        <v>245</v>
      </c>
      <c r="D44" s="494"/>
      <c r="E44" s="505">
        <f>SUMIF(O5:O37,"Clair*",P5:P37)+SUMIF(Q5:Q37,"Clair*",R5:R37)+SUMIF(S5:S37,"Clair*",T5:T37)</f>
        <v>0</v>
      </c>
      <c r="F44" s="506"/>
      <c r="T44" s="117">
        <v>8.5</v>
      </c>
      <c r="AH44" s="260">
        <f>AH20+AH30+AH42</f>
        <v>230.859375</v>
      </c>
    </row>
    <row r="45" spans="1:41" x14ac:dyDescent="0.25">
      <c r="C45" s="493" t="s">
        <v>237</v>
      </c>
      <c r="D45" s="494"/>
      <c r="E45" s="505">
        <f>SUMIF(O5:O37,"Clair*",P5:P37)+SUMIF(Q5:Q37,"Clair*",R5:R37)+SUMIF(S5:S37,"Clair*",T5:T37)</f>
        <v>0</v>
      </c>
      <c r="F45" s="506"/>
      <c r="T45" s="117">
        <v>58.5</v>
      </c>
    </row>
    <row r="46" spans="1:41" x14ac:dyDescent="0.25">
      <c r="C46" s="493" t="s">
        <v>112</v>
      </c>
      <c r="D46" s="494"/>
      <c r="E46" s="505">
        <f>SUMIF(O5:O37,"Clair*",P5:P37)+SUMIF(Q5:Q37,"Clair*",R5:R37)+SUMIF(S5:S37,"Clair*",T5:T37)</f>
        <v>0</v>
      </c>
      <c r="F46" s="506"/>
      <c r="T46" s="117">
        <v>8</v>
      </c>
    </row>
    <row r="47" spans="1:41" x14ac:dyDescent="0.25">
      <c r="C47" s="493" t="s">
        <v>249</v>
      </c>
      <c r="D47" s="494"/>
      <c r="E47" s="505">
        <f>SUMIF(O5:O37,"Clair*",P5:P37)+SUMIF(Q5:Q37,"Clair*",R5:R37)+SUMIF(S5:S37,"Clair*",T5:T37)</f>
        <v>0</v>
      </c>
      <c r="F47" s="506"/>
      <c r="T47" s="117">
        <v>42</v>
      </c>
    </row>
    <row r="48" spans="1:41" x14ac:dyDescent="0.25">
      <c r="C48" s="493" t="s">
        <v>250</v>
      </c>
      <c r="D48" s="494"/>
      <c r="E48" s="507">
        <f>SUMIF(O5:O37,"Clair*",P5:P37)+SUMIF(Q5:Q37,"Clair*",R5:R37)+SUMIF(S5:S37,"Clair*",T5:T37)</f>
        <v>0</v>
      </c>
      <c r="F48" s="508"/>
    </row>
    <row r="49" spans="3:23" x14ac:dyDescent="0.25">
      <c r="C49" s="493" t="s">
        <v>228</v>
      </c>
      <c r="D49" s="494"/>
      <c r="E49" s="505">
        <f>SUMIF(O5:O37,"Clair*",P5:P37)+SUMIF(Q5:Q37,"Clair*",R5:R37)+SUMIF(S5:S37,"Clair*",T5:T37)</f>
        <v>0</v>
      </c>
      <c r="F49" s="506"/>
    </row>
    <row r="50" spans="3:23" x14ac:dyDescent="0.25">
      <c r="C50" s="493" t="s">
        <v>72</v>
      </c>
      <c r="D50" s="494"/>
      <c r="E50" s="505">
        <f>SUMIF(O5:O37,"Clair*",P5:P37)+SUMIF(Q5:Q37,"Clair*",R5:R37)+SUMIF(S5:S37,"Clair*",T5:T37)</f>
        <v>0</v>
      </c>
      <c r="F50" s="506"/>
    </row>
    <row r="51" spans="3:23" ht="14.4" thickBot="1" x14ac:dyDescent="0.3">
      <c r="C51" s="497" t="s">
        <v>244</v>
      </c>
      <c r="D51" s="498"/>
      <c r="E51" s="503">
        <f>SUMIF(O5:O37,"Clair*",P5:P37)+SUMIF(Q5:Q37,"Clair*",R5:R37)+SUMIF(S5:S37,"Clair*",T5:T37)</f>
        <v>0</v>
      </c>
      <c r="F51" s="504"/>
    </row>
    <row r="52" spans="3:23" x14ac:dyDescent="0.25">
      <c r="C52" s="138"/>
      <c r="S52" s="117">
        <f>S40-T42-T43-T44-T45-T46-T47-T48-T50-T49</f>
        <v>58.5</v>
      </c>
      <c r="U52" s="117">
        <f>S52-42</f>
        <v>16.5</v>
      </c>
      <c r="W52" s="117">
        <f>U52-8-8.5</f>
        <v>0</v>
      </c>
    </row>
    <row r="53" spans="3:23" x14ac:dyDescent="0.25">
      <c r="C53" s="138" t="s">
        <v>323</v>
      </c>
      <c r="S53" s="117">
        <f>S41-T42-T43-T44-T45-T46-T47-T48-T49-T51-T50</f>
        <v>1</v>
      </c>
    </row>
    <row r="54" spans="3:23" x14ac:dyDescent="0.25">
      <c r="C54" s="138"/>
    </row>
    <row r="55" spans="3:23" x14ac:dyDescent="0.25">
      <c r="C55" s="138"/>
      <c r="D55" s="284" t="s">
        <v>321</v>
      </c>
      <c r="E55" s="284" t="s">
        <v>322</v>
      </c>
      <c r="F55" s="284" t="s">
        <v>324</v>
      </c>
    </row>
    <row r="56" spans="3:23" x14ac:dyDescent="0.25">
      <c r="C56" s="138" t="s">
        <v>314</v>
      </c>
      <c r="F56" s="285"/>
    </row>
    <row r="57" spans="3:23" x14ac:dyDescent="0.25">
      <c r="C57" s="117" t="s">
        <v>315</v>
      </c>
      <c r="F57" s="285"/>
    </row>
    <row r="58" spans="3:23" x14ac:dyDescent="0.25">
      <c r="C58" s="117" t="s">
        <v>316</v>
      </c>
      <c r="F58" s="285"/>
    </row>
    <row r="59" spans="3:23" x14ac:dyDescent="0.25">
      <c r="C59" s="117" t="s">
        <v>317</v>
      </c>
      <c r="F59" s="285"/>
    </row>
    <row r="60" spans="3:23" x14ac:dyDescent="0.25">
      <c r="C60" s="117" t="s">
        <v>318</v>
      </c>
      <c r="F60" s="285"/>
    </row>
    <row r="61" spans="3:23" x14ac:dyDescent="0.25">
      <c r="C61" s="117" t="s">
        <v>319</v>
      </c>
      <c r="F61" s="285"/>
    </row>
    <row r="62" spans="3:23" x14ac:dyDescent="0.25">
      <c r="C62" s="117" t="s">
        <v>320</v>
      </c>
      <c r="F62" s="285"/>
    </row>
    <row r="65" spans="3:6" x14ac:dyDescent="0.25">
      <c r="C65" s="138" t="s">
        <v>325</v>
      </c>
    </row>
    <row r="66" spans="3:6" x14ac:dyDescent="0.25">
      <c r="C66" s="138"/>
    </row>
    <row r="67" spans="3:6" x14ac:dyDescent="0.25">
      <c r="C67" s="138"/>
      <c r="D67" s="284" t="s">
        <v>321</v>
      </c>
      <c r="E67" s="284"/>
      <c r="F67" s="284"/>
    </row>
    <row r="68" spans="3:6" x14ac:dyDescent="0.25">
      <c r="C68" s="138" t="s">
        <v>314</v>
      </c>
    </row>
    <row r="69" spans="3:6" x14ac:dyDescent="0.25">
      <c r="C69" s="117" t="s">
        <v>315</v>
      </c>
    </row>
    <row r="70" spans="3:6" x14ac:dyDescent="0.25">
      <c r="C70" s="117" t="s">
        <v>316</v>
      </c>
    </row>
    <row r="71" spans="3:6" x14ac:dyDescent="0.25">
      <c r="C71" s="117" t="s">
        <v>317</v>
      </c>
    </row>
    <row r="72" spans="3:6" x14ac:dyDescent="0.25">
      <c r="C72" s="117" t="s">
        <v>318</v>
      </c>
    </row>
    <row r="73" spans="3:6" x14ac:dyDescent="0.25">
      <c r="C73" s="117" t="s">
        <v>319</v>
      </c>
    </row>
    <row r="74" spans="3:6" x14ac:dyDescent="0.25">
      <c r="C74" s="117" t="s">
        <v>320</v>
      </c>
    </row>
    <row r="75" spans="3:6" x14ac:dyDescent="0.25">
      <c r="D75" s="142"/>
    </row>
    <row r="76" spans="3:6" x14ac:dyDescent="0.25">
      <c r="C76" s="138"/>
      <c r="D76" s="284" t="s">
        <v>326</v>
      </c>
    </row>
    <row r="77" spans="3:6" x14ac:dyDescent="0.25">
      <c r="C77" s="138" t="s">
        <v>314</v>
      </c>
    </row>
    <row r="78" spans="3:6" x14ac:dyDescent="0.25">
      <c r="C78" s="117" t="s">
        <v>315</v>
      </c>
    </row>
    <row r="79" spans="3:6" x14ac:dyDescent="0.25">
      <c r="C79" s="117" t="s">
        <v>316</v>
      </c>
    </row>
    <row r="80" spans="3:6" x14ac:dyDescent="0.25">
      <c r="C80" s="117" t="s">
        <v>317</v>
      </c>
    </row>
    <row r="81" spans="3:4" x14ac:dyDescent="0.25">
      <c r="C81" s="117" t="s">
        <v>318</v>
      </c>
    </row>
    <row r="82" spans="3:4" x14ac:dyDescent="0.25">
      <c r="C82" s="117" t="s">
        <v>319</v>
      </c>
    </row>
    <row r="83" spans="3:4" x14ac:dyDescent="0.25">
      <c r="C83" s="117" t="s">
        <v>320</v>
      </c>
    </row>
    <row r="84" spans="3:4" x14ac:dyDescent="0.25">
      <c r="D84" s="142"/>
    </row>
    <row r="85" spans="3:4" x14ac:dyDescent="0.25">
      <c r="D85" s="142"/>
    </row>
    <row r="86" spans="3:4" x14ac:dyDescent="0.25">
      <c r="D86" s="142"/>
    </row>
    <row r="87" spans="3:4" x14ac:dyDescent="0.25">
      <c r="D87" s="142"/>
    </row>
    <row r="88" spans="3:4" x14ac:dyDescent="0.25">
      <c r="D88" s="142"/>
    </row>
    <row r="89" spans="3:4" x14ac:dyDescent="0.25">
      <c r="D89" s="142"/>
    </row>
    <row r="90" spans="3:4" x14ac:dyDescent="0.25">
      <c r="D90" s="142"/>
    </row>
    <row r="91" spans="3:4" x14ac:dyDescent="0.25">
      <c r="D91" s="142"/>
    </row>
    <row r="92" spans="3:4" x14ac:dyDescent="0.25">
      <c r="D92" s="142"/>
    </row>
    <row r="93" spans="3:4" x14ac:dyDescent="0.25">
      <c r="D93" s="142"/>
    </row>
    <row r="94" spans="3:4" x14ac:dyDescent="0.25">
      <c r="D94" s="142"/>
    </row>
    <row r="95" spans="3:4" x14ac:dyDescent="0.25">
      <c r="D95" s="142"/>
    </row>
    <row r="96" spans="3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11" x14ac:dyDescent="0.25">
      <c r="K1048576" s="117">
        <f>SUM(K1:K1048575)</f>
        <v>274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43" priority="1">
      <formula>D5=TODAY()</formula>
    </cfRule>
    <cfRule type="expression" dxfId="42" priority="2">
      <formula>D5&lt;TODAY()</formula>
    </cfRule>
  </conditionalFormatting>
  <dataValidations disablePrompts="1" count="1">
    <dataValidation type="list" allowBlank="1" showInputMessage="1" showErrorMessage="1" sqref="E38 G38" xr:uid="{00000000-0002-0000-0E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7"/>
  <dimension ref="A1:T35"/>
  <sheetViews>
    <sheetView showZeros="0" topLeftCell="C1" zoomScale="145" zoomScaleNormal="145" zoomScaleSheetLayoutView="190" workbookViewId="0">
      <selection activeCell="H53" sqref="H53"/>
    </sheetView>
  </sheetViews>
  <sheetFormatPr baseColWidth="10" defaultRowHeight="13.8" x14ac:dyDescent="0.25"/>
  <cols>
    <col min="3" max="3" width="2.296875" customWidth="1"/>
    <col min="4" max="5" width="5.69921875" customWidth="1"/>
    <col min="6" max="6" width="2.296875" customWidth="1"/>
    <col min="7" max="11" width="5.69921875" customWidth="1"/>
    <col min="12" max="12" width="2.296875" customWidth="1"/>
    <col min="13" max="14" width="5.69921875" customWidth="1"/>
    <col min="15" max="15" width="2.296875" customWidth="1"/>
    <col min="17" max="17" width="5.69921875" customWidth="1"/>
    <col min="18" max="18" width="4.8984375" customWidth="1"/>
  </cols>
  <sheetData>
    <row r="1" spans="1:20" x14ac:dyDescent="0.25">
      <c r="A1" s="294"/>
      <c r="B1" s="295"/>
      <c r="C1" s="296"/>
      <c r="D1" s="295"/>
      <c r="E1" s="295"/>
      <c r="F1" s="296"/>
      <c r="G1" s="295"/>
      <c r="H1" s="295"/>
      <c r="I1" s="295"/>
      <c r="J1" s="295"/>
      <c r="K1" s="295"/>
      <c r="L1" s="296"/>
      <c r="M1" s="295"/>
      <c r="N1" s="295"/>
      <c r="O1" s="296"/>
      <c r="P1" s="295"/>
      <c r="Q1" s="319"/>
      <c r="R1" s="316"/>
    </row>
    <row r="2" spans="1:20" x14ac:dyDescent="0.25">
      <c r="A2" s="40" t="s">
        <v>215</v>
      </c>
      <c r="B2" s="40"/>
      <c r="C2" s="297"/>
      <c r="D2" s="453" t="s">
        <v>303</v>
      </c>
      <c r="E2" s="453"/>
      <c r="F2" s="301"/>
      <c r="G2" s="453" t="s">
        <v>301</v>
      </c>
      <c r="H2" s="453"/>
      <c r="I2" s="453"/>
      <c r="J2" s="453"/>
      <c r="K2" s="453"/>
      <c r="L2" s="301"/>
      <c r="M2" s="453" t="s">
        <v>302</v>
      </c>
      <c r="N2" s="453"/>
      <c r="O2" s="297"/>
      <c r="P2" s="40" t="s">
        <v>240</v>
      </c>
      <c r="Q2" s="40"/>
      <c r="R2" s="297"/>
    </row>
    <row r="3" spans="1:20" x14ac:dyDescent="0.25">
      <c r="A3" s="283">
        <v>44531</v>
      </c>
      <c r="B3" s="283" t="s">
        <v>19</v>
      </c>
      <c r="C3" s="299"/>
      <c r="D3" s="287">
        <v>8</v>
      </c>
      <c r="E3" s="288">
        <v>30</v>
      </c>
      <c r="F3" s="302"/>
      <c r="G3" s="287">
        <v>12</v>
      </c>
      <c r="H3" s="288">
        <v>30</v>
      </c>
      <c r="I3" s="314">
        <f>(G3+(H3/60))-(D3+(E3/60))</f>
        <v>4</v>
      </c>
      <c r="J3" s="287">
        <v>13</v>
      </c>
      <c r="K3" s="288">
        <v>15</v>
      </c>
      <c r="L3" s="302"/>
      <c r="M3" s="287">
        <v>17</v>
      </c>
      <c r="N3" s="288">
        <v>45</v>
      </c>
      <c r="O3" s="302"/>
      <c r="P3" s="287">
        <f t="shared" ref="P3:P26" si="0">(G3+(H3/60))-(D3+(E3/60))+(M3+(N3/60))-(J3+(K3/60))</f>
        <v>8.5</v>
      </c>
      <c r="Q3" s="315">
        <f>(M3+(N3/60))-(J3+(K3/60))</f>
        <v>4.5</v>
      </c>
      <c r="R3" s="311">
        <f>P3-8.5</f>
        <v>0</v>
      </c>
      <c r="S3" t="s">
        <v>204</v>
      </c>
      <c r="T3">
        <v>4.25</v>
      </c>
    </row>
    <row r="4" spans="1:20" x14ac:dyDescent="0.25">
      <c r="A4" s="283">
        <v>44532</v>
      </c>
      <c r="B4" s="283" t="s">
        <v>13</v>
      </c>
      <c r="C4" s="297"/>
      <c r="D4" s="287">
        <v>8</v>
      </c>
      <c r="E4" s="288">
        <v>0</v>
      </c>
      <c r="F4" s="302"/>
      <c r="G4" s="287">
        <v>12</v>
      </c>
      <c r="H4" s="288">
        <v>30</v>
      </c>
      <c r="I4" s="314">
        <f t="shared" ref="I4:I25" si="1">(G4+(H4/60))-(D4+(E4/60))</f>
        <v>4.5</v>
      </c>
      <c r="J4" s="287">
        <v>13</v>
      </c>
      <c r="K4" s="288">
        <v>15</v>
      </c>
      <c r="L4" s="302"/>
      <c r="M4" s="287">
        <v>17</v>
      </c>
      <c r="N4" s="288">
        <v>15</v>
      </c>
      <c r="O4" s="302"/>
      <c r="P4" s="287">
        <f t="shared" si="0"/>
        <v>8.5</v>
      </c>
      <c r="Q4" s="315">
        <f t="shared" ref="Q4:Q26" si="2">(M4+(N4/60))-(J4+(K4/60))</f>
        <v>4</v>
      </c>
      <c r="R4" s="311">
        <f>P4-8.5</f>
        <v>0</v>
      </c>
      <c r="S4" t="s">
        <v>204</v>
      </c>
      <c r="T4">
        <v>4.25</v>
      </c>
    </row>
    <row r="5" spans="1:20" x14ac:dyDescent="0.25">
      <c r="A5" s="283">
        <v>44533</v>
      </c>
      <c r="B5" s="283" t="s">
        <v>14</v>
      </c>
      <c r="C5" s="297"/>
      <c r="D5" s="287">
        <v>8</v>
      </c>
      <c r="E5" s="288">
        <v>30</v>
      </c>
      <c r="F5" s="302"/>
      <c r="G5" s="287">
        <v>12</v>
      </c>
      <c r="H5" s="288">
        <v>30</v>
      </c>
      <c r="I5" s="314">
        <f t="shared" si="1"/>
        <v>4</v>
      </c>
      <c r="J5" s="287">
        <v>13</v>
      </c>
      <c r="K5" s="288">
        <v>15</v>
      </c>
      <c r="L5" s="302"/>
      <c r="M5" s="287">
        <v>17</v>
      </c>
      <c r="N5" s="288">
        <v>45</v>
      </c>
      <c r="O5" s="302"/>
      <c r="P5" s="287">
        <f t="shared" si="0"/>
        <v>8.5</v>
      </c>
      <c r="Q5" s="315">
        <f t="shared" si="2"/>
        <v>4.5</v>
      </c>
      <c r="R5" s="311">
        <f>P5-8</f>
        <v>0.5</v>
      </c>
      <c r="S5" t="s">
        <v>171</v>
      </c>
      <c r="T5">
        <v>4</v>
      </c>
    </row>
    <row r="6" spans="1:20" x14ac:dyDescent="0.25">
      <c r="A6" s="283">
        <v>44534</v>
      </c>
      <c r="B6" s="283" t="s">
        <v>15</v>
      </c>
      <c r="C6" s="297"/>
      <c r="D6" s="307"/>
      <c r="E6" s="308"/>
      <c r="F6" s="302"/>
      <c r="G6" s="307"/>
      <c r="H6" s="293"/>
      <c r="I6" s="314">
        <f t="shared" si="1"/>
        <v>0</v>
      </c>
      <c r="J6" s="292"/>
      <c r="K6" s="308"/>
      <c r="L6" s="302"/>
      <c r="M6" s="307"/>
      <c r="N6" s="308"/>
      <c r="O6" s="302"/>
      <c r="P6" s="307">
        <f t="shared" si="0"/>
        <v>0</v>
      </c>
      <c r="Q6" s="315">
        <f t="shared" si="2"/>
        <v>0</v>
      </c>
      <c r="R6" s="317"/>
    </row>
    <row r="7" spans="1:20" x14ac:dyDescent="0.25">
      <c r="A7" s="283">
        <v>44535</v>
      </c>
      <c r="B7" s="283" t="s">
        <v>16</v>
      </c>
      <c r="C7" s="297"/>
      <c r="D7" s="309"/>
      <c r="E7" s="310"/>
      <c r="F7" s="302"/>
      <c r="G7" s="309"/>
      <c r="H7" s="291"/>
      <c r="I7" s="314">
        <f t="shared" si="1"/>
        <v>0</v>
      </c>
      <c r="J7" s="290"/>
      <c r="K7" s="310"/>
      <c r="L7" s="302"/>
      <c r="M7" s="309"/>
      <c r="N7" s="310"/>
      <c r="O7" s="302"/>
      <c r="P7" s="309">
        <f t="shared" si="0"/>
        <v>0</v>
      </c>
      <c r="Q7" s="315">
        <f t="shared" si="2"/>
        <v>0</v>
      </c>
      <c r="R7" s="317"/>
    </row>
    <row r="8" spans="1:20" x14ac:dyDescent="0.25">
      <c r="A8" s="283">
        <v>44536</v>
      </c>
      <c r="B8" s="283" t="s">
        <v>17</v>
      </c>
      <c r="C8" s="297"/>
      <c r="D8" s="287"/>
      <c r="E8" s="288"/>
      <c r="F8" s="302"/>
      <c r="G8" s="287"/>
      <c r="H8" s="289"/>
      <c r="I8" s="314">
        <f t="shared" si="1"/>
        <v>0</v>
      </c>
      <c r="J8" s="287"/>
      <c r="K8" s="288"/>
      <c r="L8" s="302"/>
      <c r="M8" s="287">
        <v>8</v>
      </c>
      <c r="N8" s="288">
        <v>30</v>
      </c>
      <c r="O8" s="302"/>
      <c r="P8" s="287">
        <f t="shared" si="0"/>
        <v>8.5</v>
      </c>
      <c r="Q8" s="315">
        <f t="shared" si="2"/>
        <v>8.5</v>
      </c>
      <c r="R8" s="311">
        <f>P8-8.5</f>
        <v>0</v>
      </c>
      <c r="S8" t="s">
        <v>216</v>
      </c>
    </row>
    <row r="9" spans="1:20" x14ac:dyDescent="0.25">
      <c r="A9" s="283">
        <v>44537</v>
      </c>
      <c r="B9" s="283" t="s">
        <v>18</v>
      </c>
      <c r="C9" s="297"/>
      <c r="D9" s="287">
        <v>8</v>
      </c>
      <c r="E9" s="288"/>
      <c r="F9" s="302"/>
      <c r="G9" s="287">
        <v>12</v>
      </c>
      <c r="H9" s="288">
        <v>45</v>
      </c>
      <c r="I9" s="314">
        <f t="shared" si="1"/>
        <v>4.75</v>
      </c>
      <c r="J9" s="287">
        <v>13</v>
      </c>
      <c r="K9" s="288">
        <v>15</v>
      </c>
      <c r="L9" s="302"/>
      <c r="M9" s="287">
        <v>17</v>
      </c>
      <c r="N9" s="288">
        <v>30</v>
      </c>
      <c r="O9" s="302"/>
      <c r="P9" s="287">
        <f t="shared" si="0"/>
        <v>9</v>
      </c>
      <c r="Q9" s="315">
        <f t="shared" si="2"/>
        <v>4.25</v>
      </c>
      <c r="R9" s="311">
        <f t="shared" ref="R9:R11" si="3">P9-8.5</f>
        <v>0.5</v>
      </c>
      <c r="S9" t="s">
        <v>204</v>
      </c>
      <c r="T9">
        <v>4.25</v>
      </c>
    </row>
    <row r="10" spans="1:20" x14ac:dyDescent="0.25">
      <c r="A10" s="283">
        <v>44538</v>
      </c>
      <c r="B10" s="283" t="s">
        <v>19</v>
      </c>
      <c r="C10" s="297"/>
      <c r="D10" s="287">
        <v>8</v>
      </c>
      <c r="E10" s="288">
        <v>30</v>
      </c>
      <c r="F10" s="302"/>
      <c r="G10" s="287">
        <v>12</v>
      </c>
      <c r="H10" s="288">
        <v>30</v>
      </c>
      <c r="I10" s="314">
        <f t="shared" si="1"/>
        <v>4</v>
      </c>
      <c r="J10" s="287">
        <v>13</v>
      </c>
      <c r="K10" s="288">
        <v>15</v>
      </c>
      <c r="L10" s="302"/>
      <c r="M10" s="287">
        <v>18</v>
      </c>
      <c r="N10" s="288">
        <v>15</v>
      </c>
      <c r="O10" s="302"/>
      <c r="P10" s="287">
        <f t="shared" si="0"/>
        <v>9</v>
      </c>
      <c r="Q10" s="315">
        <f t="shared" si="2"/>
        <v>5</v>
      </c>
      <c r="R10" s="311">
        <f t="shared" si="3"/>
        <v>0.5</v>
      </c>
      <c r="S10" t="s">
        <v>204</v>
      </c>
      <c r="T10">
        <v>4.25</v>
      </c>
    </row>
    <row r="11" spans="1:20" x14ac:dyDescent="0.25">
      <c r="A11" s="283">
        <v>44539</v>
      </c>
      <c r="B11" s="283" t="s">
        <v>13</v>
      </c>
      <c r="C11" s="297"/>
      <c r="D11" s="287">
        <v>8</v>
      </c>
      <c r="E11" s="288">
        <v>30</v>
      </c>
      <c r="F11" s="302"/>
      <c r="G11" s="287">
        <v>12</v>
      </c>
      <c r="H11" s="288">
        <v>30</v>
      </c>
      <c r="I11" s="314">
        <f t="shared" si="1"/>
        <v>4</v>
      </c>
      <c r="J11" s="287">
        <v>13</v>
      </c>
      <c r="K11" s="288">
        <v>15</v>
      </c>
      <c r="L11" s="302"/>
      <c r="M11" s="287">
        <v>17</v>
      </c>
      <c r="N11" s="288">
        <v>45</v>
      </c>
      <c r="O11" s="302"/>
      <c r="P11" s="287">
        <f t="shared" si="0"/>
        <v>8.5</v>
      </c>
      <c r="Q11" s="315">
        <f t="shared" si="2"/>
        <v>4.5</v>
      </c>
      <c r="R11" s="311">
        <f t="shared" si="3"/>
        <v>0</v>
      </c>
      <c r="S11" t="s">
        <v>328</v>
      </c>
      <c r="T11">
        <v>4.25</v>
      </c>
    </row>
    <row r="12" spans="1:20" x14ac:dyDescent="0.25">
      <c r="A12" s="283">
        <v>44540</v>
      </c>
      <c r="B12" s="283" t="s">
        <v>14</v>
      </c>
      <c r="C12" s="297"/>
      <c r="D12" s="287">
        <v>8</v>
      </c>
      <c r="E12" s="288">
        <v>15</v>
      </c>
      <c r="F12" s="302"/>
      <c r="G12" s="287">
        <v>12</v>
      </c>
      <c r="H12" s="288">
        <v>30</v>
      </c>
      <c r="I12" s="314">
        <f t="shared" si="1"/>
        <v>4.25</v>
      </c>
      <c r="J12" s="287">
        <v>13</v>
      </c>
      <c r="K12" s="288">
        <v>15</v>
      </c>
      <c r="L12" s="302"/>
      <c r="M12" s="287">
        <v>17</v>
      </c>
      <c r="N12" s="288">
        <v>45</v>
      </c>
      <c r="O12" s="302"/>
      <c r="P12" s="287">
        <f t="shared" si="0"/>
        <v>8.75</v>
      </c>
      <c r="Q12" s="315">
        <f t="shared" si="2"/>
        <v>4.5</v>
      </c>
      <c r="R12" s="311">
        <f>P12-8</f>
        <v>0.75</v>
      </c>
      <c r="S12" t="s">
        <v>328</v>
      </c>
      <c r="T12">
        <v>4</v>
      </c>
    </row>
    <row r="13" spans="1:20" x14ac:dyDescent="0.25">
      <c r="A13" s="283">
        <v>44541</v>
      </c>
      <c r="B13" s="283" t="s">
        <v>15</v>
      </c>
      <c r="C13" s="297"/>
      <c r="D13" s="303"/>
      <c r="E13" s="304"/>
      <c r="F13" s="302"/>
      <c r="G13" s="303"/>
      <c r="H13" s="305"/>
      <c r="I13" s="314">
        <f t="shared" si="1"/>
        <v>0</v>
      </c>
      <c r="J13" s="306"/>
      <c r="K13" s="304"/>
      <c r="L13" s="302"/>
      <c r="M13" s="303"/>
      <c r="N13" s="304"/>
      <c r="O13" s="302"/>
      <c r="P13" s="303">
        <f t="shared" si="0"/>
        <v>0</v>
      </c>
      <c r="Q13" s="315">
        <f t="shared" si="2"/>
        <v>0</v>
      </c>
      <c r="R13" s="317"/>
    </row>
    <row r="14" spans="1:20" x14ac:dyDescent="0.25">
      <c r="A14" s="283">
        <v>44542</v>
      </c>
      <c r="B14" s="283" t="s">
        <v>16</v>
      </c>
      <c r="C14" s="297"/>
      <c r="D14" s="303"/>
      <c r="E14" s="304"/>
      <c r="F14" s="302"/>
      <c r="G14" s="303"/>
      <c r="H14" s="305"/>
      <c r="I14" s="314">
        <f t="shared" si="1"/>
        <v>0</v>
      </c>
      <c r="J14" s="306"/>
      <c r="K14" s="304"/>
      <c r="L14" s="302"/>
      <c r="M14" s="303"/>
      <c r="N14" s="304"/>
      <c r="O14" s="302"/>
      <c r="P14" s="303">
        <f t="shared" si="0"/>
        <v>0</v>
      </c>
      <c r="Q14" s="315">
        <f t="shared" si="2"/>
        <v>0</v>
      </c>
      <c r="R14" s="317"/>
    </row>
    <row r="15" spans="1:20" x14ac:dyDescent="0.25">
      <c r="A15" s="283">
        <v>44543</v>
      </c>
      <c r="B15" s="283" t="s">
        <v>17</v>
      </c>
      <c r="C15" s="297"/>
      <c r="D15" s="287"/>
      <c r="E15" s="288">
        <v>0</v>
      </c>
      <c r="F15" s="302"/>
      <c r="G15" s="287"/>
      <c r="H15" s="288"/>
      <c r="I15" s="314">
        <f t="shared" si="1"/>
        <v>0</v>
      </c>
      <c r="J15" s="287"/>
      <c r="K15" s="288"/>
      <c r="L15" s="302"/>
      <c r="M15" s="287">
        <v>8</v>
      </c>
      <c r="N15" s="288">
        <v>30</v>
      </c>
      <c r="O15" s="302"/>
      <c r="P15" s="287">
        <f t="shared" si="0"/>
        <v>8.5</v>
      </c>
      <c r="Q15" s="315">
        <f t="shared" si="2"/>
        <v>8.5</v>
      </c>
      <c r="R15" s="311">
        <f t="shared" ref="R15" si="4">8.5-P15</f>
        <v>0</v>
      </c>
      <c r="S15" t="s">
        <v>216</v>
      </c>
    </row>
    <row r="16" spans="1:20" x14ac:dyDescent="0.25">
      <c r="A16" s="283">
        <v>44544</v>
      </c>
      <c r="B16" s="283" t="s">
        <v>18</v>
      </c>
      <c r="C16" s="297"/>
      <c r="D16" s="287">
        <v>8</v>
      </c>
      <c r="E16" s="288"/>
      <c r="F16" s="302"/>
      <c r="G16" s="287">
        <v>12</v>
      </c>
      <c r="H16" s="288">
        <v>15</v>
      </c>
      <c r="I16" s="314">
        <f t="shared" si="1"/>
        <v>4.25</v>
      </c>
      <c r="J16" s="287">
        <v>13</v>
      </c>
      <c r="K16" s="288">
        <v>0</v>
      </c>
      <c r="L16" s="302"/>
      <c r="M16" s="287">
        <v>18</v>
      </c>
      <c r="N16" s="288">
        <v>0</v>
      </c>
      <c r="O16" s="302"/>
      <c r="P16" s="287">
        <f t="shared" si="0"/>
        <v>9.25</v>
      </c>
      <c r="Q16" s="315">
        <f t="shared" si="2"/>
        <v>5</v>
      </c>
      <c r="R16" s="311">
        <f>P16-8.5</f>
        <v>0.75</v>
      </c>
      <c r="S16" t="s">
        <v>204</v>
      </c>
      <c r="T16">
        <v>5</v>
      </c>
    </row>
    <row r="17" spans="1:20" x14ac:dyDescent="0.25">
      <c r="A17" s="283">
        <v>44545</v>
      </c>
      <c r="B17" s="283" t="s">
        <v>19</v>
      </c>
      <c r="C17" s="297"/>
      <c r="D17" s="287">
        <v>8</v>
      </c>
      <c r="E17" s="288">
        <v>15</v>
      </c>
      <c r="F17" s="302"/>
      <c r="G17" s="287">
        <v>12</v>
      </c>
      <c r="H17" s="288">
        <v>30</v>
      </c>
      <c r="I17" s="314">
        <f t="shared" si="1"/>
        <v>4.25</v>
      </c>
      <c r="J17" s="287">
        <v>13</v>
      </c>
      <c r="K17" s="288">
        <v>15</v>
      </c>
      <c r="L17" s="302"/>
      <c r="M17" s="287">
        <v>18</v>
      </c>
      <c r="N17" s="288">
        <v>15</v>
      </c>
      <c r="O17" s="302"/>
      <c r="P17" s="287">
        <f t="shared" si="0"/>
        <v>9.25</v>
      </c>
      <c r="Q17" s="315">
        <f t="shared" si="2"/>
        <v>5</v>
      </c>
      <c r="R17" s="311">
        <f t="shared" ref="R17:R18" si="5">P17-8.5</f>
        <v>0.75</v>
      </c>
      <c r="S17" t="s">
        <v>329</v>
      </c>
      <c r="T17">
        <v>5</v>
      </c>
    </row>
    <row r="18" spans="1:20" x14ac:dyDescent="0.25">
      <c r="A18" s="283">
        <v>44546</v>
      </c>
      <c r="B18" s="283" t="s">
        <v>13</v>
      </c>
      <c r="C18" s="297"/>
      <c r="D18" s="287">
        <v>8</v>
      </c>
      <c r="E18" s="288">
        <v>30</v>
      </c>
      <c r="F18" s="302"/>
      <c r="G18" s="287">
        <v>12</v>
      </c>
      <c r="H18" s="288">
        <v>30</v>
      </c>
      <c r="I18" s="314">
        <f t="shared" si="1"/>
        <v>4</v>
      </c>
      <c r="J18" s="287">
        <v>13</v>
      </c>
      <c r="K18" s="288">
        <v>15</v>
      </c>
      <c r="L18" s="302"/>
      <c r="M18" s="287">
        <v>18</v>
      </c>
      <c r="N18" s="288">
        <v>15</v>
      </c>
      <c r="O18" s="302"/>
      <c r="P18" s="287">
        <f t="shared" si="0"/>
        <v>9</v>
      </c>
      <c r="Q18" s="315">
        <f t="shared" si="2"/>
        <v>5</v>
      </c>
      <c r="R18" s="311">
        <f t="shared" si="5"/>
        <v>0.5</v>
      </c>
      <c r="S18" t="s">
        <v>80</v>
      </c>
      <c r="T18">
        <v>4.75</v>
      </c>
    </row>
    <row r="19" spans="1:20" x14ac:dyDescent="0.25">
      <c r="A19" s="283">
        <v>44547</v>
      </c>
      <c r="B19" s="283" t="s">
        <v>14</v>
      </c>
      <c r="C19" s="297"/>
      <c r="D19" s="287">
        <v>8</v>
      </c>
      <c r="E19" s="288">
        <v>30</v>
      </c>
      <c r="F19" s="302"/>
      <c r="G19" s="287">
        <v>12</v>
      </c>
      <c r="H19" s="288"/>
      <c r="I19" s="314">
        <f t="shared" si="1"/>
        <v>3.5</v>
      </c>
      <c r="J19" s="287">
        <v>13</v>
      </c>
      <c r="K19" s="288">
        <v>30</v>
      </c>
      <c r="L19" s="302"/>
      <c r="M19" s="287">
        <v>18</v>
      </c>
      <c r="N19" s="288"/>
      <c r="O19" s="302"/>
      <c r="P19" s="287">
        <f t="shared" si="0"/>
        <v>8</v>
      </c>
      <c r="Q19" s="315">
        <f t="shared" si="2"/>
        <v>4.5</v>
      </c>
      <c r="R19" s="311"/>
      <c r="S19" t="s">
        <v>80</v>
      </c>
      <c r="T19">
        <v>4</v>
      </c>
    </row>
    <row r="20" spans="1:20" x14ac:dyDescent="0.25">
      <c r="A20" s="283">
        <v>44548</v>
      </c>
      <c r="B20" s="283" t="s">
        <v>15</v>
      </c>
      <c r="C20" s="297"/>
      <c r="D20" s="303"/>
      <c r="E20" s="304"/>
      <c r="F20" s="302"/>
      <c r="G20" s="303"/>
      <c r="H20" s="305"/>
      <c r="I20" s="314">
        <f t="shared" si="1"/>
        <v>0</v>
      </c>
      <c r="J20" s="306"/>
      <c r="K20" s="304"/>
      <c r="L20" s="302"/>
      <c r="M20" s="303"/>
      <c r="N20" s="304"/>
      <c r="O20" s="302"/>
      <c r="P20" s="303">
        <f t="shared" si="0"/>
        <v>0</v>
      </c>
      <c r="Q20" s="315">
        <f t="shared" si="2"/>
        <v>0</v>
      </c>
      <c r="R20" s="317"/>
    </row>
    <row r="21" spans="1:20" x14ac:dyDescent="0.25">
      <c r="A21" s="283">
        <v>44549</v>
      </c>
      <c r="B21" s="283" t="s">
        <v>16</v>
      </c>
      <c r="C21" s="300"/>
      <c r="D21" s="303"/>
      <c r="E21" s="304"/>
      <c r="F21" s="302"/>
      <c r="G21" s="303"/>
      <c r="H21" s="305"/>
      <c r="I21" s="314">
        <f t="shared" si="1"/>
        <v>0</v>
      </c>
      <c r="J21" s="306"/>
      <c r="K21" s="304"/>
      <c r="L21" s="302"/>
      <c r="M21" s="303"/>
      <c r="N21" s="304"/>
      <c r="O21" s="302"/>
      <c r="P21" s="303">
        <f t="shared" si="0"/>
        <v>0</v>
      </c>
      <c r="Q21" s="315">
        <f t="shared" si="2"/>
        <v>0</v>
      </c>
      <c r="R21" s="317"/>
    </row>
    <row r="22" spans="1:20" x14ac:dyDescent="0.25">
      <c r="A22" s="283">
        <v>44550</v>
      </c>
      <c r="B22" s="283" t="s">
        <v>17</v>
      </c>
      <c r="C22" s="297"/>
      <c r="D22" s="287"/>
      <c r="E22" s="288"/>
      <c r="F22" s="302"/>
      <c r="G22" s="287"/>
      <c r="H22" s="288"/>
      <c r="I22" s="314">
        <f t="shared" si="1"/>
        <v>0</v>
      </c>
      <c r="J22" s="287"/>
      <c r="K22" s="288">
        <v>0</v>
      </c>
      <c r="L22" s="302"/>
      <c r="M22" s="287">
        <v>8</v>
      </c>
      <c r="N22" s="288">
        <v>30</v>
      </c>
      <c r="O22" s="302"/>
      <c r="P22" s="287">
        <f t="shared" si="0"/>
        <v>8.5</v>
      </c>
      <c r="Q22" s="315">
        <f t="shared" si="2"/>
        <v>8.5</v>
      </c>
      <c r="R22" s="311">
        <f t="shared" ref="R22" si="6">8.5-P22</f>
        <v>0</v>
      </c>
      <c r="S22" t="s">
        <v>216</v>
      </c>
    </row>
    <row r="23" spans="1:20" x14ac:dyDescent="0.25">
      <c r="A23" s="283">
        <v>44551</v>
      </c>
      <c r="B23" s="283" t="s">
        <v>18</v>
      </c>
      <c r="C23" s="297"/>
      <c r="D23" s="287">
        <v>8</v>
      </c>
      <c r="E23" s="288">
        <v>30</v>
      </c>
      <c r="F23" s="302"/>
      <c r="G23" s="287">
        <v>12</v>
      </c>
      <c r="H23" s="288">
        <v>15</v>
      </c>
      <c r="I23" s="314">
        <f t="shared" si="1"/>
        <v>3.75</v>
      </c>
      <c r="J23" s="287">
        <v>13</v>
      </c>
      <c r="K23" s="288"/>
      <c r="L23" s="302"/>
      <c r="M23" s="287">
        <v>17</v>
      </c>
      <c r="N23" s="288">
        <v>45</v>
      </c>
      <c r="O23" s="302"/>
      <c r="P23" s="287">
        <f t="shared" si="0"/>
        <v>8.5</v>
      </c>
      <c r="Q23" s="315">
        <f t="shared" si="2"/>
        <v>4.75</v>
      </c>
      <c r="R23" s="311">
        <f>P23-8.5</f>
        <v>0</v>
      </c>
      <c r="S23" t="s">
        <v>5</v>
      </c>
      <c r="T23">
        <v>4.25</v>
      </c>
    </row>
    <row r="24" spans="1:20" x14ac:dyDescent="0.25">
      <c r="A24" s="283">
        <v>44552</v>
      </c>
      <c r="B24" s="283" t="s">
        <v>19</v>
      </c>
      <c r="C24" s="297"/>
      <c r="D24" s="287">
        <v>8</v>
      </c>
      <c r="E24" s="288">
        <v>30</v>
      </c>
      <c r="F24" s="302"/>
      <c r="G24" s="287">
        <v>12</v>
      </c>
      <c r="H24" s="288">
        <v>15</v>
      </c>
      <c r="I24" s="314">
        <f t="shared" si="1"/>
        <v>3.75</v>
      </c>
      <c r="J24" s="287">
        <v>13</v>
      </c>
      <c r="K24" s="288"/>
      <c r="L24" s="302"/>
      <c r="M24" s="287">
        <v>17</v>
      </c>
      <c r="N24" s="288">
        <v>45</v>
      </c>
      <c r="O24" s="302"/>
      <c r="P24" s="287">
        <f t="shared" si="0"/>
        <v>8.5</v>
      </c>
      <c r="Q24" s="315">
        <f t="shared" si="2"/>
        <v>4.75</v>
      </c>
      <c r="R24" s="311">
        <f t="shared" ref="R24" si="7">P24-8.5</f>
        <v>0</v>
      </c>
      <c r="S24" t="s">
        <v>80</v>
      </c>
      <c r="T24">
        <v>4.25</v>
      </c>
    </row>
    <row r="25" spans="1:20" x14ac:dyDescent="0.25">
      <c r="A25" s="283">
        <v>44553</v>
      </c>
      <c r="B25" s="283" t="s">
        <v>13</v>
      </c>
      <c r="C25" s="297"/>
      <c r="D25" s="287">
        <v>8</v>
      </c>
      <c r="E25" s="288">
        <v>30</v>
      </c>
      <c r="F25" s="302"/>
      <c r="G25" s="287">
        <v>12</v>
      </c>
      <c r="H25" s="288">
        <v>30</v>
      </c>
      <c r="I25" s="314">
        <f t="shared" si="1"/>
        <v>4</v>
      </c>
      <c r="J25" s="287">
        <v>13</v>
      </c>
      <c r="K25" s="288"/>
      <c r="L25" s="302"/>
      <c r="M25" s="287">
        <v>16</v>
      </c>
      <c r="N25" s="288">
        <v>45</v>
      </c>
      <c r="O25" s="302"/>
      <c r="P25" s="287">
        <f t="shared" si="0"/>
        <v>7.75</v>
      </c>
      <c r="Q25" s="315">
        <f t="shared" si="2"/>
        <v>3.75</v>
      </c>
      <c r="R25" s="311">
        <v>-0.75</v>
      </c>
      <c r="S25" t="s">
        <v>80</v>
      </c>
      <c r="T25">
        <v>3.5</v>
      </c>
    </row>
    <row r="26" spans="1:20" x14ac:dyDescent="0.25">
      <c r="A26" s="283">
        <v>44554</v>
      </c>
      <c r="B26" s="283" t="s">
        <v>14</v>
      </c>
      <c r="C26" s="297"/>
      <c r="D26" s="287"/>
      <c r="E26" s="288"/>
      <c r="F26" s="302"/>
      <c r="G26" s="287"/>
      <c r="H26" s="288"/>
      <c r="I26" s="314"/>
      <c r="J26" s="287"/>
      <c r="K26" s="288"/>
      <c r="L26" s="302"/>
      <c r="M26" s="287"/>
      <c r="N26" s="288"/>
      <c r="O26" s="302"/>
      <c r="P26" s="287">
        <f t="shared" si="0"/>
        <v>0</v>
      </c>
      <c r="Q26" s="315">
        <f t="shared" si="2"/>
        <v>0</v>
      </c>
      <c r="R26" s="311"/>
    </row>
    <row r="27" spans="1:20" x14ac:dyDescent="0.25">
      <c r="A27" s="283">
        <v>44555</v>
      </c>
      <c r="B27" s="283" t="s">
        <v>15</v>
      </c>
      <c r="C27" s="297"/>
      <c r="D27" s="303"/>
      <c r="E27" s="304"/>
      <c r="F27" s="302"/>
      <c r="G27" s="303"/>
      <c r="H27" s="305"/>
      <c r="I27" s="305"/>
      <c r="J27" s="306"/>
      <c r="K27" s="304"/>
      <c r="L27" s="302"/>
      <c r="M27" s="303"/>
      <c r="N27" s="304"/>
      <c r="O27" s="302"/>
      <c r="P27" s="303">
        <f>P3+P4+P5+P8+P9+P10+P11+P12+P15+P16+P17+P18+P19+P22+P23+P24+P25</f>
        <v>146.5</v>
      </c>
      <c r="Q27" s="318"/>
      <c r="R27" s="317"/>
    </row>
    <row r="28" spans="1:20" x14ac:dyDescent="0.25">
      <c r="A28" s="283">
        <v>44556</v>
      </c>
      <c r="B28" s="283" t="s">
        <v>16</v>
      </c>
      <c r="C28" s="297"/>
      <c r="D28" s="303"/>
      <c r="E28" s="304"/>
      <c r="F28" s="302"/>
      <c r="G28" s="303"/>
      <c r="H28" s="305"/>
      <c r="I28" s="305"/>
      <c r="J28" s="306"/>
      <c r="K28" s="304"/>
      <c r="L28" s="302"/>
      <c r="M28" s="303"/>
      <c r="N28" s="304"/>
      <c r="O28" s="302"/>
      <c r="P28" s="303">
        <f t="shared" ref="P28:P33" si="8">(G28+(H28/60))-(D28+(E28/60))+(M28+(N28/60))-(J28+(K28/60))</f>
        <v>0</v>
      </c>
      <c r="Q28" s="318"/>
      <c r="R28" s="317"/>
    </row>
    <row r="29" spans="1:20" x14ac:dyDescent="0.25">
      <c r="A29" s="283">
        <v>44557</v>
      </c>
      <c r="B29" s="283" t="s">
        <v>17</v>
      </c>
      <c r="C29" s="297"/>
      <c r="D29" s="287"/>
      <c r="E29" s="288"/>
      <c r="F29" s="302"/>
      <c r="G29" s="287"/>
      <c r="H29" s="288"/>
      <c r="I29" s="288"/>
      <c r="J29" s="287"/>
      <c r="K29" s="288"/>
      <c r="L29" s="302"/>
      <c r="M29" s="287"/>
      <c r="N29" s="288"/>
      <c r="O29" s="302"/>
      <c r="P29" s="287">
        <f t="shared" si="8"/>
        <v>0</v>
      </c>
      <c r="Q29" s="287"/>
      <c r="R29" s="311"/>
      <c r="S29" t="s">
        <v>216</v>
      </c>
    </row>
    <row r="30" spans="1:20" x14ac:dyDescent="0.25">
      <c r="A30" s="283">
        <v>44558</v>
      </c>
      <c r="B30" s="283" t="s">
        <v>18</v>
      </c>
      <c r="C30" s="297"/>
      <c r="D30" s="287"/>
      <c r="E30" s="288"/>
      <c r="F30" s="302"/>
      <c r="G30" s="287"/>
      <c r="H30" s="288"/>
      <c r="I30" s="288"/>
      <c r="J30" s="287"/>
      <c r="K30" s="288"/>
      <c r="L30" s="302"/>
      <c r="M30" s="287"/>
      <c r="N30" s="288"/>
      <c r="O30" s="302"/>
      <c r="P30" s="287">
        <f t="shared" si="8"/>
        <v>0</v>
      </c>
      <c r="Q30" s="287"/>
      <c r="R30" s="311"/>
    </row>
    <row r="31" spans="1:20" x14ac:dyDescent="0.25">
      <c r="A31" s="283">
        <v>44559</v>
      </c>
      <c r="B31" s="283" t="s">
        <v>19</v>
      </c>
      <c r="C31" s="297"/>
      <c r="D31" s="287"/>
      <c r="E31" s="288"/>
      <c r="F31" s="302"/>
      <c r="G31" s="287"/>
      <c r="H31" s="288"/>
      <c r="I31" s="288"/>
      <c r="J31" s="287"/>
      <c r="K31" s="288"/>
      <c r="L31" s="302"/>
      <c r="M31" s="287"/>
      <c r="N31" s="288"/>
      <c r="O31" s="302"/>
      <c r="P31" s="287">
        <f t="shared" si="8"/>
        <v>0</v>
      </c>
      <c r="Q31" s="287"/>
      <c r="R31" s="311"/>
    </row>
    <row r="32" spans="1:20" x14ac:dyDescent="0.25">
      <c r="A32" s="283">
        <v>44560</v>
      </c>
      <c r="B32" s="283" t="s">
        <v>13</v>
      </c>
      <c r="C32" s="297"/>
      <c r="D32" s="287"/>
      <c r="E32" s="288"/>
      <c r="F32" s="302"/>
      <c r="G32" s="287"/>
      <c r="H32" s="288"/>
      <c r="I32" s="288"/>
      <c r="J32" s="287"/>
      <c r="K32" s="288"/>
      <c r="L32" s="302"/>
      <c r="M32" s="287"/>
      <c r="N32" s="288"/>
      <c r="O32" s="302"/>
      <c r="P32" s="287">
        <f t="shared" si="8"/>
        <v>0</v>
      </c>
      <c r="Q32" s="287"/>
      <c r="R32" s="311"/>
    </row>
    <row r="33" spans="1:18" x14ac:dyDescent="0.25">
      <c r="A33" s="283">
        <v>44561</v>
      </c>
      <c r="B33" s="283" t="s">
        <v>14</v>
      </c>
      <c r="C33" s="297"/>
      <c r="D33" s="287"/>
      <c r="E33" s="288"/>
      <c r="F33" s="302"/>
      <c r="G33" s="287"/>
      <c r="H33" s="288"/>
      <c r="I33" s="288"/>
      <c r="J33" s="287"/>
      <c r="K33" s="288"/>
      <c r="L33" s="302"/>
      <c r="M33" s="287"/>
      <c r="N33" s="288"/>
      <c r="O33" s="302"/>
      <c r="P33" s="287">
        <f t="shared" si="8"/>
        <v>0</v>
      </c>
      <c r="Q33" s="287"/>
      <c r="R33" s="311"/>
    </row>
    <row r="34" spans="1:18" x14ac:dyDescent="0.25">
      <c r="A34" s="294"/>
      <c r="B34" s="295"/>
      <c r="C34" s="298"/>
      <c r="D34" s="295"/>
      <c r="E34" s="295"/>
      <c r="F34" s="298"/>
      <c r="G34" s="295"/>
      <c r="H34" s="295"/>
      <c r="I34" s="295"/>
      <c r="J34" s="295"/>
      <c r="K34" s="295"/>
      <c r="L34" s="298"/>
      <c r="M34" s="295"/>
      <c r="N34" s="295"/>
      <c r="O34" s="298"/>
      <c r="P34" s="295"/>
      <c r="Q34" s="313"/>
      <c r="R34" s="298"/>
    </row>
    <row r="35" spans="1:18" x14ac:dyDescent="0.25">
      <c r="P35" s="312">
        <f>SUM(R2:R34)</f>
        <v>3.5</v>
      </c>
      <c r="Q35" s="312"/>
    </row>
  </sheetData>
  <mergeCells count="3">
    <mergeCell ref="M2:N2"/>
    <mergeCell ref="D2:E2"/>
    <mergeCell ref="G2:K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8">
    <tabColor theme="5" tint="0.59999389629810485"/>
    <pageSetUpPr fitToPage="1"/>
  </sheetPr>
  <dimension ref="A1:AP1048576"/>
  <sheetViews>
    <sheetView showGridLines="0" showZeros="0" showRuler="0" zoomScale="70" zoomScaleNormal="70" zoomScaleSheetLayoutView="100" zoomScalePageLayoutView="70" workbookViewId="0">
      <selection activeCell="I63" sqref="I63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16384" width="11" style="117"/>
  </cols>
  <sheetData>
    <row r="1" spans="1:41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1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1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1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</row>
    <row r="5" spans="1:41" ht="16.350000000000001" customHeight="1" thickTop="1" thickBot="1" x14ac:dyDescent="0.35">
      <c r="B5" s="487">
        <f>_xlfn.ISOWEEKNUM(D5)</f>
        <v>1</v>
      </c>
      <c r="C5" s="229" t="s">
        <v>99</v>
      </c>
      <c r="D5" s="126">
        <v>36894</v>
      </c>
      <c r="E5" s="231">
        <v>0.35416666666666669</v>
      </c>
      <c r="F5" s="231">
        <v>0.52083333333333337</v>
      </c>
      <c r="G5" s="232">
        <f>(F5-E5)*24</f>
        <v>4</v>
      </c>
      <c r="H5" s="231">
        <v>0.55208333333333337</v>
      </c>
      <c r="I5" s="231">
        <v>0.73958333333333337</v>
      </c>
      <c r="J5" s="232">
        <f>(I5-H5)*24</f>
        <v>4.5</v>
      </c>
      <c r="K5" s="233">
        <v>8.5</v>
      </c>
      <c r="L5" s="234">
        <f t="shared" ref="L5:L37" si="0">(F5-E5+I5-H5)*24</f>
        <v>8.5</v>
      </c>
      <c r="M5" s="211"/>
      <c r="N5" s="249">
        <f t="shared" ref="N5:N34" si="1">IF(L5&gt;0,(L5-K5)+N4,+N4)</f>
        <v>0</v>
      </c>
      <c r="O5" s="267" t="s">
        <v>298</v>
      </c>
      <c r="P5" s="266">
        <v>4.25</v>
      </c>
      <c r="Q5" s="266"/>
      <c r="R5" s="266"/>
      <c r="S5" s="266"/>
      <c r="T5" s="266"/>
      <c r="U5" s="328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1" ht="16.350000000000001" customHeight="1" thickTop="1" thickBot="1" x14ac:dyDescent="0.35">
      <c r="B6" s="487"/>
      <c r="C6" s="125" t="s">
        <v>93</v>
      </c>
      <c r="D6" s="126">
        <v>36895</v>
      </c>
      <c r="E6" s="127">
        <v>0.35416666666666669</v>
      </c>
      <c r="F6" s="127">
        <v>0.52083333333333337</v>
      </c>
      <c r="G6" s="227">
        <f t="shared" ref="G6:G37" si="2">(F6-E6)*24</f>
        <v>4</v>
      </c>
      <c r="H6" s="127">
        <v>0.55208333333333337</v>
      </c>
      <c r="I6" s="127">
        <v>0.73958333333333337</v>
      </c>
      <c r="J6" s="227">
        <f t="shared" ref="J6:J37" si="3">(I6-H6)*24</f>
        <v>4.5</v>
      </c>
      <c r="K6" s="115">
        <v>8.5</v>
      </c>
      <c r="L6" s="147">
        <f t="shared" si="0"/>
        <v>8.5</v>
      </c>
      <c r="M6" s="205"/>
      <c r="N6" s="250">
        <f t="shared" si="1"/>
        <v>0</v>
      </c>
      <c r="O6" s="268" t="s">
        <v>298</v>
      </c>
      <c r="P6" s="269">
        <v>4.25</v>
      </c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1" ht="16.350000000000001" customHeight="1" thickTop="1" thickBot="1" x14ac:dyDescent="0.35">
      <c r="A7" s="150"/>
      <c r="B7" s="487"/>
      <c r="C7" s="206" t="s">
        <v>94</v>
      </c>
      <c r="D7" s="126">
        <v>36896</v>
      </c>
      <c r="E7" s="208">
        <v>0.34375</v>
      </c>
      <c r="F7" s="208">
        <v>0.52083333333333337</v>
      </c>
      <c r="G7" s="132">
        <f t="shared" si="2"/>
        <v>4.2500000000000009</v>
      </c>
      <c r="H7" s="208">
        <v>0.55208333333333337</v>
      </c>
      <c r="I7" s="208">
        <v>0.72916666666666663</v>
      </c>
      <c r="J7" s="132">
        <f t="shared" si="3"/>
        <v>4.2499999999999982</v>
      </c>
      <c r="K7" s="209">
        <v>8.5</v>
      </c>
      <c r="L7" s="210">
        <f t="shared" si="0"/>
        <v>8.5</v>
      </c>
      <c r="M7" s="211"/>
      <c r="N7" s="249">
        <f t="shared" si="1"/>
        <v>0</v>
      </c>
      <c r="O7" s="267" t="s">
        <v>336</v>
      </c>
      <c r="P7" s="266">
        <v>4.25</v>
      </c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1" ht="16.350000000000001" customHeight="1" thickTop="1" thickBot="1" x14ac:dyDescent="0.35">
      <c r="A8" s="150"/>
      <c r="B8" s="487"/>
      <c r="C8" s="125" t="s">
        <v>95</v>
      </c>
      <c r="D8" s="126">
        <v>36897</v>
      </c>
      <c r="E8" s="127">
        <v>0.34375</v>
      </c>
      <c r="F8" s="127">
        <v>0.52083333333333337</v>
      </c>
      <c r="G8" s="227">
        <f t="shared" si="2"/>
        <v>4.2500000000000009</v>
      </c>
      <c r="H8" s="127">
        <v>0.55208333333333337</v>
      </c>
      <c r="I8" s="127">
        <v>0.61458333333333337</v>
      </c>
      <c r="J8" s="227">
        <f t="shared" si="3"/>
        <v>1.5</v>
      </c>
      <c r="K8" s="115">
        <v>8.5</v>
      </c>
      <c r="L8" s="323">
        <f t="shared" si="0"/>
        <v>5.7500000000000009</v>
      </c>
      <c r="M8" s="205"/>
      <c r="N8" s="250">
        <f>IF(P8&gt;0,(P8-K8)+N7,+N7)</f>
        <v>-2</v>
      </c>
      <c r="O8" s="321" t="s">
        <v>330</v>
      </c>
      <c r="P8" s="322">
        <v>6.5</v>
      </c>
      <c r="Q8" s="269" t="s">
        <v>293</v>
      </c>
      <c r="R8" s="269">
        <v>2.25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1" ht="16.05" customHeight="1" thickTop="1" thickBot="1" x14ac:dyDescent="0.35">
      <c r="A9" s="150"/>
      <c r="B9" s="487"/>
      <c r="C9" s="206" t="s">
        <v>96</v>
      </c>
      <c r="D9" s="126">
        <v>36898</v>
      </c>
      <c r="E9" s="208">
        <v>0.34375</v>
      </c>
      <c r="F9" s="208">
        <v>0.52083333333333337</v>
      </c>
      <c r="G9" s="132">
        <f t="shared" si="2"/>
        <v>4.2500000000000009</v>
      </c>
      <c r="H9" s="208">
        <v>0.55208333333333337</v>
      </c>
      <c r="I9" s="208">
        <v>0.71875</v>
      </c>
      <c r="J9" s="132">
        <f t="shared" si="3"/>
        <v>3.9999999999999991</v>
      </c>
      <c r="K9" s="209">
        <v>8</v>
      </c>
      <c r="L9" s="210">
        <f t="shared" si="0"/>
        <v>8.25</v>
      </c>
      <c r="M9" s="211"/>
      <c r="N9" s="249">
        <f t="shared" si="1"/>
        <v>-1.75</v>
      </c>
      <c r="O9" s="267" t="s">
        <v>140</v>
      </c>
      <c r="P9" s="266">
        <v>4.25</v>
      </c>
      <c r="Q9" s="266"/>
      <c r="R9" s="266"/>
      <c r="S9" s="266"/>
      <c r="T9" s="266"/>
      <c r="U9" s="330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1" ht="1.35" customHeight="1" thickTop="1" thickBot="1" x14ac:dyDescent="0.35">
      <c r="A10" s="150"/>
      <c r="B10" s="122"/>
      <c r="C10" s="143" t="s">
        <v>97</v>
      </c>
      <c r="D10" s="126">
        <v>36899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-1.75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1" ht="1.35" customHeight="1" thickTop="1" thickBot="1" x14ac:dyDescent="0.35">
      <c r="A11" s="150"/>
      <c r="B11" s="122"/>
      <c r="C11" s="143" t="s">
        <v>98</v>
      </c>
      <c r="D11" s="126">
        <v>36900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50">
        <f t="shared" si="1"/>
        <v>-1.75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1" ht="16.05" customHeight="1" thickTop="1" thickBot="1" x14ac:dyDescent="0.35">
      <c r="A12" s="150"/>
      <c r="B12" s="487">
        <f>_xlfn.ISOWEEKNUM(D12)</f>
        <v>2</v>
      </c>
      <c r="C12" s="125" t="s">
        <v>99</v>
      </c>
      <c r="D12" s="126">
        <v>36901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-1.75</v>
      </c>
      <c r="O12" s="269" t="s">
        <v>216</v>
      </c>
      <c r="P12" s="269">
        <v>8.5</v>
      </c>
      <c r="Q12" s="275"/>
      <c r="R12" s="275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1" ht="16.05" customHeight="1" thickTop="1" thickBot="1" x14ac:dyDescent="0.35">
      <c r="A13" s="150"/>
      <c r="B13" s="487"/>
      <c r="C13" s="206" t="s">
        <v>93</v>
      </c>
      <c r="D13" s="126">
        <v>36902</v>
      </c>
      <c r="E13" s="208">
        <v>0.32291666666666669</v>
      </c>
      <c r="F13" s="208">
        <v>0.51041666666666663</v>
      </c>
      <c r="G13" s="132">
        <f t="shared" si="2"/>
        <v>4.4999999999999982</v>
      </c>
      <c r="H13" s="208">
        <v>0.54166666666666663</v>
      </c>
      <c r="I13" s="325">
        <v>0.71875</v>
      </c>
      <c r="J13" s="132">
        <f t="shared" si="3"/>
        <v>4.2500000000000009</v>
      </c>
      <c r="K13" s="209">
        <v>8.5</v>
      </c>
      <c r="L13" s="210">
        <f t="shared" si="0"/>
        <v>8.75</v>
      </c>
      <c r="M13" s="211"/>
      <c r="N13" s="249">
        <f t="shared" si="1"/>
        <v>-1.5</v>
      </c>
      <c r="O13" s="266" t="s">
        <v>332</v>
      </c>
      <c r="P13" s="266">
        <v>4.25</v>
      </c>
      <c r="Q13" s="266"/>
      <c r="R13" s="266"/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1" ht="16.05" customHeight="1" thickTop="1" thickBot="1" x14ac:dyDescent="0.35">
      <c r="A14" s="150"/>
      <c r="B14" s="487"/>
      <c r="C14" s="125" t="s">
        <v>94</v>
      </c>
      <c r="D14" s="126">
        <v>36903</v>
      </c>
      <c r="E14" s="127">
        <v>0.33333333333333331</v>
      </c>
      <c r="F14" s="127">
        <v>0.52083333333333337</v>
      </c>
      <c r="G14" s="227">
        <f t="shared" si="2"/>
        <v>4.5000000000000018</v>
      </c>
      <c r="H14" s="127">
        <v>0.55208333333333337</v>
      </c>
      <c r="I14" s="127">
        <v>0.72916666666666663</v>
      </c>
      <c r="J14" s="227">
        <f t="shared" si="3"/>
        <v>4.2499999999999982</v>
      </c>
      <c r="K14" s="115">
        <v>8.5</v>
      </c>
      <c r="L14" s="147">
        <f t="shared" si="0"/>
        <v>8.75</v>
      </c>
      <c r="M14" s="205"/>
      <c r="N14" s="250">
        <f t="shared" si="1"/>
        <v>-1.25</v>
      </c>
      <c r="O14" s="269" t="s">
        <v>333</v>
      </c>
      <c r="P14" s="269">
        <v>4.25</v>
      </c>
      <c r="Q14" s="269"/>
      <c r="R14" s="269"/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1" ht="16.05" customHeight="1" thickTop="1" thickBot="1" x14ac:dyDescent="0.35">
      <c r="A15" s="150"/>
      <c r="B15" s="487"/>
      <c r="C15" s="206" t="s">
        <v>95</v>
      </c>
      <c r="D15" s="126">
        <v>36904</v>
      </c>
      <c r="E15" s="208">
        <v>0.32291666666666669</v>
      </c>
      <c r="F15" s="208">
        <v>0.51041666666666663</v>
      </c>
      <c r="G15" s="132">
        <f t="shared" si="2"/>
        <v>4.4999999999999982</v>
      </c>
      <c r="H15" s="208">
        <v>0.54166666666666663</v>
      </c>
      <c r="I15" s="208">
        <v>0.70833333333333337</v>
      </c>
      <c r="J15" s="132">
        <f t="shared" si="3"/>
        <v>4.0000000000000018</v>
      </c>
      <c r="K15" s="209">
        <v>8.5</v>
      </c>
      <c r="L15" s="210">
        <f t="shared" si="0"/>
        <v>8.5</v>
      </c>
      <c r="M15" s="211"/>
      <c r="N15" s="249">
        <f t="shared" si="1"/>
        <v>-1.25</v>
      </c>
      <c r="O15" s="266" t="s">
        <v>140</v>
      </c>
      <c r="P15" s="266">
        <v>4.25</v>
      </c>
      <c r="Q15" s="266"/>
      <c r="R15" s="266"/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1" ht="16.05" customHeight="1" thickTop="1" thickBot="1" x14ac:dyDescent="0.35">
      <c r="A16" s="150"/>
      <c r="B16" s="487"/>
      <c r="C16" s="125" t="s">
        <v>96</v>
      </c>
      <c r="D16" s="126">
        <v>36905</v>
      </c>
      <c r="E16" s="127">
        <v>0.33333333333333331</v>
      </c>
      <c r="F16" s="127">
        <v>0.51041666666666663</v>
      </c>
      <c r="G16" s="227">
        <f t="shared" si="2"/>
        <v>4.25</v>
      </c>
      <c r="H16" s="127">
        <v>0.54166666666666663</v>
      </c>
      <c r="I16" s="127">
        <v>0.71875</v>
      </c>
      <c r="J16" s="227">
        <f t="shared" si="3"/>
        <v>4.2500000000000009</v>
      </c>
      <c r="K16" s="115">
        <v>8</v>
      </c>
      <c r="L16" s="281">
        <f t="shared" si="0"/>
        <v>8.5</v>
      </c>
      <c r="M16" s="205"/>
      <c r="N16" s="250">
        <f t="shared" si="1"/>
        <v>-0.75</v>
      </c>
      <c r="O16" s="269" t="s">
        <v>140</v>
      </c>
      <c r="P16" s="269">
        <v>4</v>
      </c>
      <c r="Q16" s="269"/>
      <c r="R16" s="269"/>
      <c r="S16" s="270"/>
      <c r="T16" s="269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1" ht="1.35" customHeight="1" thickTop="1" thickBot="1" x14ac:dyDescent="0.35">
      <c r="A17" s="150"/>
      <c r="B17" s="185"/>
      <c r="C17" s="143" t="s">
        <v>97</v>
      </c>
      <c r="D17" s="126">
        <v>36906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50">
        <f t="shared" si="1"/>
        <v>-0.75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126">
        <v>36907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50">
        <f t="shared" si="1"/>
        <v>-0.75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1" ht="16.05" customHeight="1" thickTop="1" thickBot="1" x14ac:dyDescent="0.35">
      <c r="A19" s="150"/>
      <c r="B19" s="487">
        <f>_xlfn.ISOWEEKNUM(D19)</f>
        <v>3</v>
      </c>
      <c r="C19" s="206" t="s">
        <v>99</v>
      </c>
      <c r="D19" s="126">
        <v>36908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-0.75</v>
      </c>
      <c r="O19" s="267" t="s">
        <v>216</v>
      </c>
      <c r="P19" s="266">
        <v>8.5</v>
      </c>
      <c r="Q19" s="266"/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1" ht="16.05" customHeight="1" thickTop="1" thickBot="1" x14ac:dyDescent="0.35">
      <c r="A20" s="150"/>
      <c r="B20" s="487"/>
      <c r="C20" s="125" t="s">
        <v>93</v>
      </c>
      <c r="D20" s="126">
        <v>36909</v>
      </c>
      <c r="E20" s="127">
        <v>0.33333333333333331</v>
      </c>
      <c r="F20" s="127">
        <v>0.52083333333333337</v>
      </c>
      <c r="G20" s="227">
        <f t="shared" si="2"/>
        <v>4.5000000000000018</v>
      </c>
      <c r="H20" s="127">
        <v>0.55208333333333337</v>
      </c>
      <c r="I20" s="127">
        <v>0.71875</v>
      </c>
      <c r="J20" s="227">
        <f t="shared" si="3"/>
        <v>3.9999999999999991</v>
      </c>
      <c r="K20" s="115">
        <v>8.5</v>
      </c>
      <c r="L20" s="147">
        <f t="shared" si="0"/>
        <v>8.5</v>
      </c>
      <c r="M20" s="205"/>
      <c r="N20" s="250">
        <f t="shared" si="1"/>
        <v>-0.75</v>
      </c>
      <c r="O20" s="269" t="s">
        <v>332</v>
      </c>
      <c r="P20" s="269">
        <v>4.25</v>
      </c>
      <c r="Q20" s="269"/>
      <c r="R20" s="269"/>
      <c r="T20" s="176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1" ht="16.05" customHeight="1" thickTop="1" thickBot="1" x14ac:dyDescent="0.35">
      <c r="A21" s="150"/>
      <c r="B21" s="487"/>
      <c r="C21" s="206" t="s">
        <v>94</v>
      </c>
      <c r="D21" s="126">
        <v>36910</v>
      </c>
      <c r="E21" s="208">
        <v>0.33333333333333331</v>
      </c>
      <c r="F21" s="208">
        <v>0.52083333333333337</v>
      </c>
      <c r="G21" s="132">
        <f t="shared" si="2"/>
        <v>4.5000000000000018</v>
      </c>
      <c r="H21" s="208">
        <v>0.55208333333333337</v>
      </c>
      <c r="I21" s="208">
        <v>0.72916666666666663</v>
      </c>
      <c r="J21" s="132">
        <f t="shared" si="3"/>
        <v>4.2499999999999982</v>
      </c>
      <c r="K21" s="209">
        <v>8.5</v>
      </c>
      <c r="L21" s="210">
        <f t="shared" si="0"/>
        <v>8.75</v>
      </c>
      <c r="M21" s="211"/>
      <c r="N21" s="249">
        <f t="shared" si="1"/>
        <v>-0.5</v>
      </c>
      <c r="O21" s="267" t="s">
        <v>333</v>
      </c>
      <c r="P21" s="266">
        <v>4.5</v>
      </c>
      <c r="Q21" s="266"/>
      <c r="R21" s="266"/>
      <c r="S21" s="266"/>
      <c r="T21" s="266"/>
      <c r="U21" s="326"/>
      <c r="V21" s="215"/>
      <c r="W21" s="214"/>
      <c r="X21" s="216"/>
      <c r="Y21" s="133"/>
    </row>
    <row r="22" spans="1:41" ht="16.05" customHeight="1" thickTop="1" thickBot="1" x14ac:dyDescent="0.35">
      <c r="A22" s="150"/>
      <c r="B22" s="487"/>
      <c r="C22" s="125" t="s">
        <v>95</v>
      </c>
      <c r="D22" s="126">
        <v>36911</v>
      </c>
      <c r="E22" s="127">
        <v>0.33333333333333331</v>
      </c>
      <c r="F22" s="127">
        <v>0.52083333333333337</v>
      </c>
      <c r="G22" s="227">
        <f t="shared" si="2"/>
        <v>4.5000000000000018</v>
      </c>
      <c r="H22" s="127">
        <v>0.55208333333333337</v>
      </c>
      <c r="I22" s="127">
        <v>0.73958333333333337</v>
      </c>
      <c r="J22" s="227">
        <f t="shared" si="3"/>
        <v>4.5</v>
      </c>
      <c r="K22" s="115">
        <v>8.5</v>
      </c>
      <c r="L22" s="147">
        <f t="shared" si="0"/>
        <v>9.0000000000000036</v>
      </c>
      <c r="M22" s="205"/>
      <c r="N22" s="250">
        <f t="shared" si="1"/>
        <v>3.5527136788005009E-15</v>
      </c>
      <c r="O22" s="268" t="s">
        <v>298</v>
      </c>
      <c r="P22" s="269">
        <v>4.75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1" ht="16.05" customHeight="1" thickTop="1" thickBot="1" x14ac:dyDescent="0.35">
      <c r="A23" s="150"/>
      <c r="B23" s="487"/>
      <c r="C23" s="206" t="s">
        <v>96</v>
      </c>
      <c r="D23" s="126">
        <v>36912</v>
      </c>
      <c r="E23" s="208">
        <v>0.34375</v>
      </c>
      <c r="F23" s="208">
        <v>0.52083333333333337</v>
      </c>
      <c r="G23" s="132">
        <f t="shared" si="2"/>
        <v>4.2500000000000009</v>
      </c>
      <c r="H23" s="208">
        <v>0.55208333333333337</v>
      </c>
      <c r="I23" s="208">
        <v>0.70833333333333337</v>
      </c>
      <c r="J23" s="132">
        <f t="shared" si="3"/>
        <v>3.75</v>
      </c>
      <c r="K23" s="209">
        <v>8</v>
      </c>
      <c r="L23" s="210">
        <f t="shared" si="0"/>
        <v>8</v>
      </c>
      <c r="M23" s="211"/>
      <c r="N23" s="249">
        <f t="shared" si="1"/>
        <v>3.5527136788005009E-15</v>
      </c>
      <c r="O23" s="267" t="s">
        <v>266</v>
      </c>
      <c r="P23" s="266">
        <v>4</v>
      </c>
      <c r="Q23" s="266"/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1" ht="1.35" customHeight="1" thickTop="1" thickBot="1" x14ac:dyDescent="0.35">
      <c r="A24" s="150"/>
      <c r="B24" s="185"/>
      <c r="C24" s="143" t="s">
        <v>97</v>
      </c>
      <c r="D24" s="126">
        <v>36913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3.5527136788005009E-15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1" ht="1.35" customHeight="1" thickTop="1" thickBot="1" x14ac:dyDescent="0.35">
      <c r="A25" s="150"/>
      <c r="B25" s="185"/>
      <c r="C25" s="143" t="s">
        <v>98</v>
      </c>
      <c r="D25" s="126">
        <v>36914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3.5527136788005009E-15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1" ht="16.05" customHeight="1" thickTop="1" thickBot="1" x14ac:dyDescent="0.35">
      <c r="A26" s="150"/>
      <c r="B26" s="487">
        <f>_xlfn.ISOWEEKNUM(D26)</f>
        <v>4</v>
      </c>
      <c r="C26" s="125" t="s">
        <v>99</v>
      </c>
      <c r="D26" s="126">
        <v>36915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3.5527136788005009E-15</v>
      </c>
      <c r="O26" s="268"/>
      <c r="P26" s="269">
        <v>8.5</v>
      </c>
      <c r="Q26" s="269"/>
      <c r="R26" s="269"/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1" ht="16.05" customHeight="1" thickTop="1" thickBot="1" x14ac:dyDescent="0.35">
      <c r="A27" s="150"/>
      <c r="B27" s="487"/>
      <c r="C27" s="206" t="s">
        <v>93</v>
      </c>
      <c r="D27" s="126">
        <v>36916</v>
      </c>
      <c r="E27" s="208">
        <v>0.33333333333333331</v>
      </c>
      <c r="F27" s="208">
        <v>0.51041666666666663</v>
      </c>
      <c r="G27" s="132">
        <f t="shared" si="2"/>
        <v>4.25</v>
      </c>
      <c r="H27" s="208">
        <v>0.54166666666666663</v>
      </c>
      <c r="I27" s="208">
        <v>0.73958333333333337</v>
      </c>
      <c r="J27" s="132">
        <f t="shared" si="3"/>
        <v>4.7500000000000018</v>
      </c>
      <c r="K27" s="209">
        <v>8.5</v>
      </c>
      <c r="L27" s="210">
        <f t="shared" si="0"/>
        <v>9.0000000000000036</v>
      </c>
      <c r="M27" s="211"/>
      <c r="N27" s="249">
        <f t="shared" si="1"/>
        <v>0.50000000000000711</v>
      </c>
      <c r="O27" s="267" t="s">
        <v>298</v>
      </c>
      <c r="P27" s="266">
        <v>4.75</v>
      </c>
      <c r="Q27" s="266"/>
      <c r="R27" s="266"/>
      <c r="S27" s="266"/>
      <c r="T27" s="327"/>
      <c r="U27" s="326" t="s">
        <v>334</v>
      </c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</row>
    <row r="28" spans="1:41" ht="16.05" customHeight="1" thickTop="1" thickBot="1" x14ac:dyDescent="0.35">
      <c r="A28" s="150"/>
      <c r="B28" s="487"/>
      <c r="C28" s="125" t="s">
        <v>94</v>
      </c>
      <c r="D28" s="126">
        <v>36917</v>
      </c>
      <c r="E28" s="127">
        <v>0.33333333333333331</v>
      </c>
      <c r="F28" s="127">
        <v>0.52083333333333337</v>
      </c>
      <c r="G28" s="227">
        <f t="shared" si="2"/>
        <v>4.5000000000000018</v>
      </c>
      <c r="H28" s="127">
        <v>0.55208333333333337</v>
      </c>
      <c r="I28" s="127">
        <v>0.71875</v>
      </c>
      <c r="J28" s="227">
        <f t="shared" si="3"/>
        <v>3.9999999999999991</v>
      </c>
      <c r="K28" s="115">
        <v>8.5</v>
      </c>
      <c r="L28" s="147">
        <f t="shared" si="0"/>
        <v>8.5</v>
      </c>
      <c r="M28" s="205"/>
      <c r="N28" s="250">
        <f t="shared" si="1"/>
        <v>0.50000000000000711</v>
      </c>
      <c r="O28" s="268" t="s">
        <v>298</v>
      </c>
      <c r="P28" s="269">
        <v>4.25</v>
      </c>
      <c r="Q28" s="269"/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1" ht="16.05" customHeight="1" thickTop="1" thickBot="1" x14ac:dyDescent="0.35">
      <c r="A29" s="150"/>
      <c r="B29" s="487"/>
      <c r="C29" s="206" t="s">
        <v>95</v>
      </c>
      <c r="D29" s="126">
        <v>36918</v>
      </c>
      <c r="E29" s="208">
        <v>0.33333333333333331</v>
      </c>
      <c r="F29" s="208">
        <v>0.52083333333333337</v>
      </c>
      <c r="G29" s="132">
        <f t="shared" si="2"/>
        <v>4.5000000000000018</v>
      </c>
      <c r="H29" s="208">
        <v>0.55208333333333337</v>
      </c>
      <c r="I29" s="208">
        <v>0.75</v>
      </c>
      <c r="J29" s="132">
        <f t="shared" si="3"/>
        <v>4.7499999999999991</v>
      </c>
      <c r="K29" s="209">
        <v>8.5</v>
      </c>
      <c r="L29" s="210">
        <f t="shared" si="0"/>
        <v>9.25</v>
      </c>
      <c r="M29" s="211"/>
      <c r="N29" s="249">
        <f t="shared" si="1"/>
        <v>1.2500000000000071</v>
      </c>
      <c r="O29" s="267" t="s">
        <v>298</v>
      </c>
      <c r="P29" s="266">
        <v>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</row>
    <row r="30" spans="1:41" ht="16.05" customHeight="1" thickTop="1" thickBot="1" x14ac:dyDescent="0.35">
      <c r="A30" s="150"/>
      <c r="B30" s="487"/>
      <c r="C30" s="125" t="s">
        <v>96</v>
      </c>
      <c r="D30" s="126">
        <v>36919</v>
      </c>
      <c r="E30" s="127">
        <v>0.34375</v>
      </c>
      <c r="F30" s="127">
        <v>0.51041666666666663</v>
      </c>
      <c r="G30" s="227">
        <f t="shared" si="2"/>
        <v>3.9999999999999991</v>
      </c>
      <c r="H30" s="127">
        <v>0.54166666666666663</v>
      </c>
      <c r="I30" s="127">
        <v>0.6875</v>
      </c>
      <c r="J30" s="227">
        <f t="shared" si="3"/>
        <v>3.5000000000000009</v>
      </c>
      <c r="K30" s="115">
        <v>8</v>
      </c>
      <c r="L30" s="147">
        <f t="shared" si="0"/>
        <v>7.5</v>
      </c>
      <c r="M30" s="205"/>
      <c r="N30" s="250">
        <f t="shared" si="1"/>
        <v>0.75000000000000711</v>
      </c>
      <c r="O30" s="268" t="s">
        <v>333</v>
      </c>
      <c r="P30" s="269">
        <v>3.5</v>
      </c>
      <c r="Q30" s="269"/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</row>
    <row r="31" spans="1:41" ht="1.35" customHeight="1" thickTop="1" thickBot="1" x14ac:dyDescent="0.35">
      <c r="A31" s="150"/>
      <c r="B31" s="185"/>
      <c r="C31" s="143" t="s">
        <v>97</v>
      </c>
      <c r="D31" s="126">
        <v>36920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0.75000000000000711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1" ht="1.35" customHeight="1" thickTop="1" thickBot="1" x14ac:dyDescent="0.35">
      <c r="A32" s="150"/>
      <c r="B32" s="185"/>
      <c r="C32" s="143" t="s">
        <v>98</v>
      </c>
      <c r="D32" s="126">
        <v>36921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0.75000000000000711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1" ht="16.05" customHeight="1" thickTop="1" thickBot="1" x14ac:dyDescent="0.35">
      <c r="A33" s="150"/>
      <c r="B33" s="487">
        <f>_xlfn.ISOWEEKNUM(D33)</f>
        <v>5</v>
      </c>
      <c r="C33" s="206" t="s">
        <v>99</v>
      </c>
      <c r="D33" s="126">
        <v>36922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0.75000000000000711</v>
      </c>
      <c r="O33" s="267" t="s">
        <v>216</v>
      </c>
      <c r="P33" s="266">
        <v>8.5</v>
      </c>
      <c r="Q33" s="266"/>
      <c r="R33" s="266"/>
      <c r="S33" s="266"/>
      <c r="T33" s="266"/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1" ht="16.05" customHeight="1" thickTop="1" thickBot="1" x14ac:dyDescent="0.35">
      <c r="A34" s="150"/>
      <c r="B34" s="487"/>
      <c r="C34" s="125" t="s">
        <v>93</v>
      </c>
      <c r="D34" s="126"/>
      <c r="E34" s="127"/>
      <c r="F34" s="282"/>
      <c r="G34" s="227">
        <f t="shared" si="2"/>
        <v>0</v>
      </c>
      <c r="H34" s="282"/>
      <c r="I34" s="127"/>
      <c r="J34" s="227">
        <f t="shared" si="3"/>
        <v>0</v>
      </c>
      <c r="K34" s="115">
        <v>8.5</v>
      </c>
      <c r="L34" s="286">
        <f t="shared" si="0"/>
        <v>0</v>
      </c>
      <c r="M34" s="205"/>
      <c r="N34" s="250">
        <f t="shared" si="1"/>
        <v>0.75000000000000711</v>
      </c>
      <c r="O34" s="268"/>
      <c r="P34" s="269"/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1" ht="16.05" customHeight="1" thickTop="1" thickBot="1" x14ac:dyDescent="0.35">
      <c r="A35" s="150"/>
      <c r="B35" s="487"/>
      <c r="C35" s="206"/>
      <c r="D35" s="126"/>
      <c r="E35" s="220"/>
      <c r="F35" s="220"/>
      <c r="G35" s="132">
        <f t="shared" si="2"/>
        <v>0</v>
      </c>
      <c r="H35" s="220"/>
      <c r="I35" s="220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0.75000000000000711</v>
      </c>
      <c r="O35" s="276"/>
      <c r="P35" s="277"/>
      <c r="Q35" s="277"/>
      <c r="R35" s="277"/>
      <c r="S35" s="277"/>
      <c r="T35" s="277"/>
      <c r="U35" s="334"/>
      <c r="V35" s="225"/>
      <c r="W35" s="224"/>
      <c r="X35" s="226"/>
      <c r="Y35" s="121"/>
      <c r="AL35" s="263"/>
      <c r="AO35" s="263"/>
    </row>
    <row r="36" spans="1:41" ht="16.350000000000001" customHeight="1" thickTop="1" thickBot="1" x14ac:dyDescent="0.35">
      <c r="A36" s="150"/>
      <c r="B36" s="487"/>
      <c r="C36" s="125"/>
      <c r="D36" s="126"/>
      <c r="E36" s="127"/>
      <c r="F36" s="282"/>
      <c r="G36" s="227">
        <f t="shared" si="2"/>
        <v>0</v>
      </c>
      <c r="H36" s="282"/>
      <c r="I36" s="127"/>
      <c r="J36" s="227">
        <f t="shared" si="3"/>
        <v>0</v>
      </c>
      <c r="K36" s="115">
        <v>8.5</v>
      </c>
      <c r="L36" s="281">
        <f t="shared" si="0"/>
        <v>0</v>
      </c>
      <c r="M36" s="205"/>
      <c r="N36" s="250">
        <f>IF(L36&gt;0,(L36-K36)+N35,+N35)</f>
        <v>0.75000000000000711</v>
      </c>
      <c r="O36" s="278"/>
      <c r="P36" s="279"/>
      <c r="Q36" s="279"/>
      <c r="R36" s="279"/>
      <c r="S36" s="279"/>
      <c r="T36" s="279"/>
      <c r="U36" s="335"/>
      <c r="V36" s="242"/>
      <c r="W36" s="241"/>
      <c r="X36" s="243"/>
      <c r="Y36" s="121"/>
      <c r="AL36" s="263"/>
      <c r="AO36" s="263"/>
    </row>
    <row r="37" spans="1:41" ht="16.350000000000001" customHeight="1" thickTop="1" thickBot="1" x14ac:dyDescent="0.35">
      <c r="B37" s="244"/>
      <c r="C37" s="206"/>
      <c r="D37" s="126"/>
      <c r="E37" s="220"/>
      <c r="F37" s="220"/>
      <c r="G37" s="132">
        <f t="shared" si="2"/>
        <v>0</v>
      </c>
      <c r="H37" s="220"/>
      <c r="I37" s="220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0.75000000000000711</v>
      </c>
      <c r="O37" s="276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1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L5+L6+L7+L8+L9+L12+L13+L14+L15+L16+L19+L20+L21+L22+L23+L26+L27+L28+L29+L30+L33+L34</f>
        <v>176.5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</row>
    <row r="39" spans="1:41" ht="15" thickTop="1" thickBot="1" x14ac:dyDescent="0.3">
      <c r="C39" s="138"/>
      <c r="P39" s="139"/>
      <c r="Q39" s="140"/>
      <c r="U39" s="176"/>
    </row>
    <row r="40" spans="1:41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</row>
    <row r="41" spans="1:41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</row>
    <row r="42" spans="1:41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</row>
    <row r="43" spans="1:41" x14ac:dyDescent="0.25">
      <c r="C43" s="493"/>
      <c r="D43" s="494"/>
      <c r="E43" s="505">
        <f>SUMIF(O5:O37,"Clair*",P5:P37)+SUMIF(Q5:Q37,"Clair*",R5:R37)+SUMIF(S5:S37,"Clair*",T5:T37)</f>
        <v>0</v>
      </c>
      <c r="F43" s="506"/>
    </row>
    <row r="44" spans="1:41" x14ac:dyDescent="0.25">
      <c r="C44" s="493"/>
      <c r="D44" s="494"/>
      <c r="E44" s="505">
        <f>SUMIF(O5:O37,"Clair*",P5:P37)+SUMIF(Q5:Q37,"Clair*",R5:R37)+SUMIF(S5:S37,"Clair*",T5:T37)</f>
        <v>0</v>
      </c>
      <c r="F44" s="506"/>
    </row>
    <row r="45" spans="1:41" x14ac:dyDescent="0.25">
      <c r="C45" s="493"/>
      <c r="D45" s="494"/>
      <c r="E45" s="505">
        <f>SUMIF(O5:O37,"Clair*",P5:P37)+SUMIF(Q5:Q37,"Clair*",R5:R37)+SUMIF(S5:S37,"Clair*",T5:T37)</f>
        <v>0</v>
      </c>
      <c r="F45" s="506"/>
    </row>
    <row r="46" spans="1:41" x14ac:dyDescent="0.25">
      <c r="C46" s="493"/>
      <c r="D46" s="494"/>
      <c r="E46" s="505">
        <f>SUMIF(O5:O37,"Clair*",P5:P37)+SUMIF(Q5:Q37,"Clair*",R5:R37)+SUMIF(S5:S37,"Clair*",T5:T37)</f>
        <v>0</v>
      </c>
      <c r="F46" s="506"/>
    </row>
    <row r="47" spans="1:41" x14ac:dyDescent="0.25">
      <c r="C47" s="493"/>
      <c r="D47" s="494"/>
      <c r="E47" s="505">
        <f>SUMIF(O5:O37,"Clair*",P5:P37)+SUMIF(Q5:Q37,"Clair*",R5:R37)+SUMIF(S5:S37,"Clair*",T5:T37)</f>
        <v>0</v>
      </c>
      <c r="F47" s="506"/>
    </row>
    <row r="48" spans="1:41" x14ac:dyDescent="0.25">
      <c r="C48" s="493"/>
      <c r="D48" s="494"/>
      <c r="E48" s="507">
        <f>SUMIF(O5:O37,"Clair*",P5:P37)+SUMIF(Q5:Q37,"Clair*",R5:R37)+SUMIF(S5:S37,"Clair*",T5:T37)</f>
        <v>0</v>
      </c>
      <c r="F48" s="508"/>
    </row>
    <row r="49" spans="3:6" x14ac:dyDescent="0.25">
      <c r="C49" s="493"/>
      <c r="D49" s="494"/>
      <c r="E49" s="505">
        <f>SUMIF(O5:O37,"Clair*",P5:P37)+SUMIF(Q5:Q37,"Clair*",R5:R37)+SUMIF(S5:S37,"Clair*",T5:T37)</f>
        <v>0</v>
      </c>
      <c r="F49" s="506"/>
    </row>
    <row r="50" spans="3:6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6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  <c r="D55" s="284"/>
      <c r="E55" s="284"/>
      <c r="F55" s="284"/>
    </row>
    <row r="56" spans="3:6" x14ac:dyDescent="0.25">
      <c r="C56" s="138"/>
      <c r="F56" s="285"/>
    </row>
    <row r="57" spans="3:6" x14ac:dyDescent="0.25">
      <c r="F57" s="285"/>
    </row>
    <row r="58" spans="3:6" x14ac:dyDescent="0.25">
      <c r="F58" s="285"/>
    </row>
    <row r="59" spans="3:6" x14ac:dyDescent="0.25">
      <c r="F59" s="285"/>
    </row>
    <row r="60" spans="3:6" x14ac:dyDescent="0.25">
      <c r="F60" s="285"/>
    </row>
    <row r="61" spans="3:6" x14ac:dyDescent="0.25">
      <c r="F61" s="285"/>
    </row>
    <row r="62" spans="3:6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4" x14ac:dyDescent="0.25">
      <c r="D84" s="142"/>
    </row>
    <row r="85" spans="4:4" x14ac:dyDescent="0.25">
      <c r="D85" s="142"/>
    </row>
    <row r="86" spans="4:4" x14ac:dyDescent="0.25">
      <c r="D86" s="142"/>
    </row>
    <row r="87" spans="4:4" x14ac:dyDescent="0.25">
      <c r="D87" s="142"/>
    </row>
    <row r="88" spans="4:4" x14ac:dyDescent="0.25">
      <c r="D88" s="142"/>
    </row>
    <row r="89" spans="4:4" x14ac:dyDescent="0.25">
      <c r="D89" s="142"/>
    </row>
    <row r="90" spans="4:4" x14ac:dyDescent="0.25">
      <c r="D90" s="142"/>
    </row>
    <row r="91" spans="4:4" x14ac:dyDescent="0.25">
      <c r="D91" s="142"/>
    </row>
    <row r="92" spans="4:4" x14ac:dyDescent="0.25">
      <c r="D92" s="142"/>
    </row>
    <row r="93" spans="4:4" x14ac:dyDescent="0.25">
      <c r="D93" s="142"/>
    </row>
    <row r="94" spans="4:4" x14ac:dyDescent="0.25">
      <c r="D94" s="142"/>
    </row>
    <row r="95" spans="4:4" x14ac:dyDescent="0.25">
      <c r="D95" s="142"/>
    </row>
    <row r="96" spans="4:4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11" x14ac:dyDescent="0.25">
      <c r="K1048576" s="117">
        <f>SUM(K1:K1048575)</f>
        <v>274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41" priority="2">
      <formula>D5=TODAY()</formula>
    </cfRule>
    <cfRule type="expression" dxfId="40" priority="3">
      <formula>D5&lt;TODAY()</formula>
    </cfRule>
  </conditionalFormatting>
  <conditionalFormatting sqref="G1">
    <cfRule type="expression" dxfId="39" priority="1">
      <formula>$F$1=$E$1</formula>
    </cfRule>
  </conditionalFormatting>
  <dataValidations disablePrompts="1" count="1">
    <dataValidation type="list" allowBlank="1" showInputMessage="1" showErrorMessage="1" sqref="E38 G38" xr:uid="{00000000-0002-0000-10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">
    <tabColor theme="5" tint="0.59999389629810485"/>
    <pageSetUpPr fitToPage="1"/>
  </sheetPr>
  <dimension ref="A1:AQ1048576"/>
  <sheetViews>
    <sheetView showGridLines="0" showZeros="0" showRuler="0" zoomScale="70" zoomScaleNormal="70" zoomScaleSheetLayoutView="100" zoomScalePageLayoutView="70" workbookViewId="0">
      <selection activeCell="F37" sqref="F37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11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177,25</v>
      </c>
    </row>
    <row r="5" spans="1:43" ht="16.350000000000001" customHeight="1" thickTop="1" thickBot="1" x14ac:dyDescent="0.35">
      <c r="B5" s="487">
        <f>_xlfn.ISOWEEKNUM(D5)</f>
        <v>52</v>
      </c>
      <c r="C5" s="229" t="s">
        <v>99</v>
      </c>
      <c r="D5" s="126"/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7" si="0">(F5-E5+I5-H5)*24</f>
        <v>0</v>
      </c>
      <c r="M5" s="211"/>
      <c r="N5" s="249">
        <f t="shared" ref="N5:N34" si="1">IF(L5&gt;0,(L5-K5)+N4,+N4)</f>
        <v>0</v>
      </c>
      <c r="O5" s="267" t="s">
        <v>216</v>
      </c>
      <c r="P5" s="266"/>
      <c r="Q5" s="266"/>
      <c r="R5" s="266"/>
      <c r="S5" s="266"/>
      <c r="T5" s="266"/>
      <c r="U5" s="328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44593</v>
      </c>
      <c r="E6" s="127">
        <v>0.33333333333333331</v>
      </c>
      <c r="F6" s="127">
        <v>0.51041666666666663</v>
      </c>
      <c r="G6" s="227">
        <f t="shared" ref="G6:G37" si="2">(F6-E6)*24</f>
        <v>4.25</v>
      </c>
      <c r="H6" s="127">
        <v>0.55208333333333337</v>
      </c>
      <c r="I6" s="127">
        <v>0.76041666666666663</v>
      </c>
      <c r="J6" s="227">
        <f t="shared" ref="J6:J37" si="3">(I6-H6)*24</f>
        <v>4.9999999999999982</v>
      </c>
      <c r="K6" s="115">
        <v>8.5</v>
      </c>
      <c r="L6" s="147">
        <f t="shared" si="0"/>
        <v>9.25</v>
      </c>
      <c r="M6" s="205"/>
      <c r="N6" s="250">
        <f t="shared" si="1"/>
        <v>0.75</v>
      </c>
      <c r="O6" s="268" t="s">
        <v>72</v>
      </c>
      <c r="P6" s="269">
        <v>4.5</v>
      </c>
      <c r="Q6" s="269" t="s">
        <v>337</v>
      </c>
      <c r="R6" s="269">
        <v>4.75</v>
      </c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44594</v>
      </c>
      <c r="E7" s="208">
        <v>0.33333333333333331</v>
      </c>
      <c r="F7" s="208">
        <v>0.52083333333333337</v>
      </c>
      <c r="G7" s="132">
        <f t="shared" si="2"/>
        <v>4.5000000000000018</v>
      </c>
      <c r="H7" s="208">
        <v>0.55208333333333337</v>
      </c>
      <c r="I7" s="208">
        <v>0.73958333333333337</v>
      </c>
      <c r="J7" s="132">
        <f t="shared" si="3"/>
        <v>4.5</v>
      </c>
      <c r="K7" s="209">
        <v>8.5</v>
      </c>
      <c r="L7" s="210">
        <f t="shared" si="0"/>
        <v>9.0000000000000036</v>
      </c>
      <c r="M7" s="211"/>
      <c r="N7" s="249">
        <f t="shared" si="1"/>
        <v>1.2500000000000036</v>
      </c>
      <c r="O7" s="267" t="s">
        <v>72</v>
      </c>
      <c r="P7" s="266">
        <v>4.5</v>
      </c>
      <c r="Q7" s="266" t="s">
        <v>293</v>
      </c>
      <c r="R7" s="266">
        <v>4.5</v>
      </c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44595</v>
      </c>
      <c r="E8" s="127">
        <v>0.34375</v>
      </c>
      <c r="F8" s="127">
        <v>0.51041666666666663</v>
      </c>
      <c r="G8" s="227">
        <f t="shared" si="2"/>
        <v>3.9999999999999991</v>
      </c>
      <c r="H8" s="127">
        <v>0.54166666666666663</v>
      </c>
      <c r="I8" s="127">
        <v>0.76041666666666663</v>
      </c>
      <c r="J8" s="227">
        <f t="shared" si="3"/>
        <v>5.25</v>
      </c>
      <c r="K8" s="115">
        <v>8.5</v>
      </c>
      <c r="L8" s="147">
        <f t="shared" si="0"/>
        <v>9.25</v>
      </c>
      <c r="M8" s="205"/>
      <c r="N8" s="249">
        <f t="shared" si="1"/>
        <v>2.0000000000000036</v>
      </c>
      <c r="O8" s="321" t="s">
        <v>72</v>
      </c>
      <c r="P8" s="269">
        <v>4.5</v>
      </c>
      <c r="Q8" s="270" t="s">
        <v>293</v>
      </c>
      <c r="R8" s="269">
        <v>4.75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44596</v>
      </c>
      <c r="E9" s="208">
        <v>0.33333333333333331</v>
      </c>
      <c r="F9" s="208">
        <v>0.5</v>
      </c>
      <c r="G9" s="132">
        <f t="shared" si="2"/>
        <v>4</v>
      </c>
      <c r="H9" s="208">
        <v>0.54166666666666663</v>
      </c>
      <c r="I9" s="208">
        <v>0.6875</v>
      </c>
      <c r="J9" s="132">
        <f t="shared" si="3"/>
        <v>3.5000000000000009</v>
      </c>
      <c r="K9" s="209">
        <v>8</v>
      </c>
      <c r="L9" s="210">
        <f t="shared" si="0"/>
        <v>7.5000000000000027</v>
      </c>
      <c r="M9" s="211"/>
      <c r="N9" s="249">
        <f t="shared" si="1"/>
        <v>1.5000000000000062</v>
      </c>
      <c r="O9" s="267" t="s">
        <v>72</v>
      </c>
      <c r="P9" s="266">
        <v>4</v>
      </c>
      <c r="Q9" s="266" t="s">
        <v>139</v>
      </c>
      <c r="R9" s="266">
        <v>3.5</v>
      </c>
      <c r="S9" s="266"/>
      <c r="T9" s="266"/>
      <c r="U9" s="330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44597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1.5000000000000062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44598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>
        <f t="shared" si="0"/>
        <v>0</v>
      </c>
      <c r="M11" s="205"/>
      <c r="N11" s="250">
        <f t="shared" si="1"/>
        <v>1.5000000000000062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6</v>
      </c>
      <c r="C12" s="125" t="s">
        <v>99</v>
      </c>
      <c r="D12" s="126">
        <v>44599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1.5000000000000062</v>
      </c>
      <c r="O12" s="268" t="s">
        <v>216</v>
      </c>
      <c r="P12" s="269"/>
      <c r="Q12" s="269"/>
      <c r="R12" s="269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44600</v>
      </c>
      <c r="E13" s="208">
        <v>0.34375</v>
      </c>
      <c r="F13" s="208">
        <v>0.51041666666666663</v>
      </c>
      <c r="G13" s="132">
        <f t="shared" si="2"/>
        <v>3.9999999999999991</v>
      </c>
      <c r="H13" s="208">
        <v>0.55208333333333337</v>
      </c>
      <c r="I13" s="208">
        <v>0.73958333333333337</v>
      </c>
      <c r="J13" s="132">
        <f t="shared" si="3"/>
        <v>4.5</v>
      </c>
      <c r="K13" s="209">
        <v>8.5</v>
      </c>
      <c r="L13" s="210">
        <f t="shared" si="0"/>
        <v>8.5</v>
      </c>
      <c r="M13" s="211"/>
      <c r="N13" s="249">
        <f t="shared" si="1"/>
        <v>1.5000000000000062</v>
      </c>
      <c r="O13" s="267" t="s">
        <v>72</v>
      </c>
      <c r="P13" s="266">
        <v>4.5</v>
      </c>
      <c r="Q13" s="266" t="s">
        <v>139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44601</v>
      </c>
      <c r="E14" s="127">
        <v>0.34375</v>
      </c>
      <c r="F14" s="127">
        <v>0.51041666666666663</v>
      </c>
      <c r="G14" s="227">
        <f t="shared" si="2"/>
        <v>3.9999999999999991</v>
      </c>
      <c r="H14" s="127">
        <v>0.54166666666666663</v>
      </c>
      <c r="I14" s="127">
        <v>0.72916666666666663</v>
      </c>
      <c r="J14" s="227">
        <f t="shared" si="3"/>
        <v>4.5</v>
      </c>
      <c r="K14" s="115">
        <v>8.5</v>
      </c>
      <c r="L14" s="147">
        <f t="shared" si="0"/>
        <v>8.5</v>
      </c>
      <c r="M14" s="205"/>
      <c r="N14" s="250">
        <f t="shared" si="1"/>
        <v>1.5000000000000062</v>
      </c>
      <c r="O14" s="268" t="s">
        <v>72</v>
      </c>
      <c r="P14" s="269">
        <v>4.5</v>
      </c>
      <c r="Q14" s="269" t="s">
        <v>139</v>
      </c>
      <c r="R14" s="269">
        <v>4</v>
      </c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126">
        <v>44602</v>
      </c>
      <c r="E15" s="208">
        <v>0.34375</v>
      </c>
      <c r="F15" s="208">
        <v>0.53125</v>
      </c>
      <c r="G15" s="132">
        <f t="shared" si="2"/>
        <v>4.5</v>
      </c>
      <c r="H15" s="208">
        <v>0.5625</v>
      </c>
      <c r="I15" s="208">
        <v>0.73958333333333337</v>
      </c>
      <c r="J15" s="132">
        <f t="shared" si="3"/>
        <v>4.2500000000000009</v>
      </c>
      <c r="K15" s="209">
        <v>8.5</v>
      </c>
      <c r="L15" s="210">
        <f t="shared" si="0"/>
        <v>8.75</v>
      </c>
      <c r="M15" s="211"/>
      <c r="N15" s="249">
        <f t="shared" si="1"/>
        <v>1.7500000000000062</v>
      </c>
      <c r="O15" s="266" t="s">
        <v>72</v>
      </c>
      <c r="P15" s="266">
        <v>4.5</v>
      </c>
      <c r="Q15" s="266" t="s">
        <v>140</v>
      </c>
      <c r="R15" s="266"/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/>
      <c r="B16" s="487"/>
      <c r="C16" s="125" t="s">
        <v>96</v>
      </c>
      <c r="D16" s="126">
        <v>44603</v>
      </c>
      <c r="E16" s="127">
        <v>0.34375</v>
      </c>
      <c r="F16" s="127">
        <v>0.52083333333333337</v>
      </c>
      <c r="G16" s="227">
        <f t="shared" si="2"/>
        <v>4.2500000000000009</v>
      </c>
      <c r="H16" s="127">
        <v>0.55208333333333337</v>
      </c>
      <c r="I16" s="127">
        <v>0.6875</v>
      </c>
      <c r="J16" s="227">
        <f t="shared" si="3"/>
        <v>3.2499999999999991</v>
      </c>
      <c r="K16" s="115">
        <v>8</v>
      </c>
      <c r="L16" s="281">
        <f t="shared" si="0"/>
        <v>7.5</v>
      </c>
      <c r="M16" s="205"/>
      <c r="N16" s="250">
        <f t="shared" si="1"/>
        <v>1.2500000000000062</v>
      </c>
      <c r="O16" s="269" t="s">
        <v>72</v>
      </c>
      <c r="P16" s="269">
        <v>4</v>
      </c>
      <c r="Q16" s="269" t="s">
        <v>108</v>
      </c>
      <c r="R16" s="269"/>
      <c r="S16" s="270"/>
      <c r="T16" s="269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1" ht="1.35" customHeight="1" thickTop="1" thickBot="1" x14ac:dyDescent="0.35">
      <c r="A17" s="150"/>
      <c r="B17" s="185"/>
      <c r="C17" s="143" t="s">
        <v>97</v>
      </c>
      <c r="D17" s="126">
        <v>44604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>
        <f>K17</f>
        <v>8</v>
      </c>
      <c r="M17" s="205"/>
      <c r="N17" s="250">
        <f t="shared" si="1"/>
        <v>1.2500000000000062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126">
        <v>44605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>
        <f>K18</f>
        <v>8</v>
      </c>
      <c r="M18" s="205"/>
      <c r="N18" s="250">
        <f t="shared" si="1"/>
        <v>1.2500000000000062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1" ht="16.05" customHeight="1" thickTop="1" thickBot="1" x14ac:dyDescent="0.35">
      <c r="A19" s="150"/>
      <c r="B19" s="487">
        <f>_xlfn.ISOWEEKNUM(D19)</f>
        <v>7</v>
      </c>
      <c r="C19" s="206" t="s">
        <v>99</v>
      </c>
      <c r="D19" s="126">
        <v>44606</v>
      </c>
      <c r="E19" s="208">
        <v>0.33333333333333331</v>
      </c>
      <c r="F19" s="208">
        <v>0.51041666666666663</v>
      </c>
      <c r="G19" s="132">
        <f t="shared" si="2"/>
        <v>4.25</v>
      </c>
      <c r="H19" s="208">
        <v>0.54166666666666663</v>
      </c>
      <c r="I19" s="208">
        <v>0.75</v>
      </c>
      <c r="J19" s="132">
        <f t="shared" si="3"/>
        <v>5.0000000000000009</v>
      </c>
      <c r="K19" s="209">
        <v>8.5</v>
      </c>
      <c r="L19" s="210">
        <f t="shared" si="0"/>
        <v>9.25</v>
      </c>
      <c r="M19" s="211"/>
      <c r="N19" s="249">
        <f t="shared" si="1"/>
        <v>2.0000000000000062</v>
      </c>
      <c r="O19" s="267" t="s">
        <v>72</v>
      </c>
      <c r="P19" s="266">
        <v>4.5</v>
      </c>
      <c r="Q19" s="266" t="s">
        <v>293</v>
      </c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1" ht="16.05" customHeight="1" thickTop="1" thickBot="1" x14ac:dyDescent="0.35">
      <c r="A20" s="150"/>
      <c r="B20" s="487"/>
      <c r="C20" s="125" t="s">
        <v>93</v>
      </c>
      <c r="D20" s="126">
        <v>44607</v>
      </c>
      <c r="E20" s="127">
        <v>0.34375</v>
      </c>
      <c r="F20" s="127">
        <v>0.51041666666666663</v>
      </c>
      <c r="G20" s="227">
        <f t="shared" si="2"/>
        <v>3.9999999999999991</v>
      </c>
      <c r="H20" s="127">
        <v>0.55208333333333337</v>
      </c>
      <c r="I20" s="127">
        <v>0.77083333333333337</v>
      </c>
      <c r="J20" s="227">
        <f t="shared" si="3"/>
        <v>5.25</v>
      </c>
      <c r="K20" s="115">
        <v>8.5</v>
      </c>
      <c r="L20" s="147">
        <f t="shared" si="0"/>
        <v>9.25</v>
      </c>
      <c r="M20" s="205"/>
      <c r="N20" s="250">
        <f t="shared" si="1"/>
        <v>2.7500000000000062</v>
      </c>
      <c r="O20" s="269" t="s">
        <v>72</v>
      </c>
      <c r="P20" s="269">
        <v>4.5</v>
      </c>
      <c r="Q20" s="269" t="s">
        <v>293</v>
      </c>
      <c r="R20" s="269"/>
      <c r="T20" s="176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1" ht="16.05" customHeight="1" thickTop="1" thickBot="1" x14ac:dyDescent="0.35">
      <c r="A21" s="150"/>
      <c r="B21" s="487"/>
      <c r="C21" s="206" t="s">
        <v>94</v>
      </c>
      <c r="D21" s="126">
        <v>44608</v>
      </c>
      <c r="E21" s="208">
        <v>0.33333333333333331</v>
      </c>
      <c r="F21" s="208">
        <v>0.51041666666666663</v>
      </c>
      <c r="G21" s="132">
        <f t="shared" si="2"/>
        <v>4.25</v>
      </c>
      <c r="H21" s="208">
        <v>0.54166666666666663</v>
      </c>
      <c r="I21" s="208">
        <v>0.71875</v>
      </c>
      <c r="J21" s="132">
        <f t="shared" si="3"/>
        <v>4.2500000000000009</v>
      </c>
      <c r="K21" s="209">
        <v>8.5</v>
      </c>
      <c r="L21" s="210">
        <f t="shared" si="0"/>
        <v>8.5</v>
      </c>
      <c r="M21" s="211"/>
      <c r="N21" s="249">
        <f t="shared" si="1"/>
        <v>2.7500000000000062</v>
      </c>
      <c r="O21" s="267" t="s">
        <v>72</v>
      </c>
      <c r="P21" s="266">
        <v>4.5</v>
      </c>
      <c r="Q21" s="266" t="s">
        <v>76</v>
      </c>
      <c r="R21" s="266"/>
      <c r="S21" s="266"/>
      <c r="T21" s="266"/>
      <c r="U21" s="326"/>
      <c r="V21" s="215"/>
      <c r="W21" s="214"/>
      <c r="X21" s="216"/>
      <c r="Y21" s="133"/>
    </row>
    <row r="22" spans="1:41" ht="16.05" customHeight="1" thickTop="1" thickBot="1" x14ac:dyDescent="0.35">
      <c r="A22" s="150"/>
      <c r="B22" s="487"/>
      <c r="C22" s="125" t="s">
        <v>95</v>
      </c>
      <c r="D22" s="126">
        <v>44609</v>
      </c>
      <c r="E22" s="127">
        <v>0.35416666666666669</v>
      </c>
      <c r="F22" s="127">
        <v>0.52083333333333337</v>
      </c>
      <c r="G22" s="227">
        <f t="shared" si="2"/>
        <v>4</v>
      </c>
      <c r="H22" s="127">
        <v>0.55208333333333337</v>
      </c>
      <c r="I22" s="127">
        <v>0.73958333333333337</v>
      </c>
      <c r="J22" s="227">
        <f t="shared" si="3"/>
        <v>4.5</v>
      </c>
      <c r="K22" s="115">
        <v>8.5</v>
      </c>
      <c r="L22" s="147">
        <f t="shared" si="0"/>
        <v>8.5</v>
      </c>
      <c r="M22" s="205"/>
      <c r="N22" s="250">
        <f t="shared" si="1"/>
        <v>2.7500000000000062</v>
      </c>
      <c r="O22" s="268" t="s">
        <v>72</v>
      </c>
      <c r="P22" s="269">
        <v>4.5</v>
      </c>
      <c r="Q22" s="269" t="s">
        <v>76</v>
      </c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1" ht="16.05" customHeight="1" thickTop="1" thickBot="1" x14ac:dyDescent="0.35">
      <c r="A23" s="150"/>
      <c r="B23" s="487"/>
      <c r="C23" s="206" t="s">
        <v>96</v>
      </c>
      <c r="D23" s="126">
        <v>44610</v>
      </c>
      <c r="E23" s="208">
        <v>0.35416666666666669</v>
      </c>
      <c r="F23" s="208">
        <v>0.5</v>
      </c>
      <c r="G23" s="132">
        <f t="shared" si="2"/>
        <v>3.4999999999999996</v>
      </c>
      <c r="H23" s="208">
        <v>0.58333333333333337</v>
      </c>
      <c r="I23" s="208">
        <v>0.69791666666666663</v>
      </c>
      <c r="J23" s="132">
        <f t="shared" si="3"/>
        <v>2.7499999999999982</v>
      </c>
      <c r="K23" s="209">
        <v>8</v>
      </c>
      <c r="L23" s="210">
        <f t="shared" si="0"/>
        <v>6.2499999999999991</v>
      </c>
      <c r="M23" s="211"/>
      <c r="N23" s="249">
        <f t="shared" si="1"/>
        <v>1.0000000000000053</v>
      </c>
      <c r="O23" s="267" t="s">
        <v>72</v>
      </c>
      <c r="P23" s="266">
        <v>4</v>
      </c>
      <c r="Q23" s="266" t="s">
        <v>76</v>
      </c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1" ht="1.35" customHeight="1" thickTop="1" thickBot="1" x14ac:dyDescent="0.35">
      <c r="A24" s="150"/>
      <c r="B24" s="185"/>
      <c r="C24" s="143" t="s">
        <v>97</v>
      </c>
      <c r="D24" s="126">
        <v>44611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1.0000000000000053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1" ht="1.35" customHeight="1" thickTop="1" thickBot="1" x14ac:dyDescent="0.35">
      <c r="A25" s="150"/>
      <c r="B25" s="185"/>
      <c r="C25" s="143" t="s">
        <v>98</v>
      </c>
      <c r="D25" s="126">
        <v>44612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1.0000000000000053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1" ht="16.05" customHeight="1" thickTop="1" thickBot="1" x14ac:dyDescent="0.35">
      <c r="A26" s="150"/>
      <c r="B26" s="487">
        <f>_xlfn.ISOWEEKNUM(D26)</f>
        <v>8</v>
      </c>
      <c r="C26" s="125" t="s">
        <v>99</v>
      </c>
      <c r="D26" s="126">
        <v>44613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1.0000000000000053</v>
      </c>
      <c r="O26" s="268" t="s">
        <v>216</v>
      </c>
      <c r="P26" s="269"/>
      <c r="Q26" s="269"/>
      <c r="R26" s="269"/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1" ht="16.05" customHeight="1" thickTop="1" thickBot="1" x14ac:dyDescent="0.35">
      <c r="A27" s="150"/>
      <c r="B27" s="487"/>
      <c r="C27" s="206" t="s">
        <v>93</v>
      </c>
      <c r="D27" s="126">
        <v>44614</v>
      </c>
      <c r="E27" s="208">
        <v>0.35416666666666669</v>
      </c>
      <c r="F27" s="208">
        <v>0.51041666666666663</v>
      </c>
      <c r="G27" s="132">
        <f t="shared" si="2"/>
        <v>3.7499999999999987</v>
      </c>
      <c r="H27" s="208">
        <v>0.54166666666666663</v>
      </c>
      <c r="I27" s="208">
        <v>0.73958333333333337</v>
      </c>
      <c r="J27" s="132">
        <f t="shared" si="3"/>
        <v>4.7500000000000018</v>
      </c>
      <c r="K27" s="209">
        <v>8.5</v>
      </c>
      <c r="L27" s="210">
        <f t="shared" si="0"/>
        <v>8.5</v>
      </c>
      <c r="M27" s="211"/>
      <c r="N27" s="249">
        <f t="shared" si="1"/>
        <v>1.0000000000000053</v>
      </c>
      <c r="O27" s="267" t="s">
        <v>72</v>
      </c>
      <c r="P27" s="266">
        <v>4.5</v>
      </c>
      <c r="Q27" s="266" t="s">
        <v>12</v>
      </c>
      <c r="R27" s="266">
        <v>4</v>
      </c>
      <c r="S27" s="266"/>
      <c r="T27" s="327"/>
      <c r="U27" s="326" t="s">
        <v>334</v>
      </c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</row>
    <row r="28" spans="1:41" ht="16.05" customHeight="1" thickTop="1" thickBot="1" x14ac:dyDescent="0.35">
      <c r="A28" s="150"/>
      <c r="B28" s="487"/>
      <c r="C28" s="125" t="s">
        <v>94</v>
      </c>
      <c r="D28" s="126">
        <v>44615</v>
      </c>
      <c r="E28" s="127">
        <v>0.33333333333333331</v>
      </c>
      <c r="F28" s="127">
        <v>0.52083333333333337</v>
      </c>
      <c r="G28" s="227">
        <f t="shared" si="2"/>
        <v>4.5000000000000018</v>
      </c>
      <c r="H28" s="127">
        <v>0.55208333333333337</v>
      </c>
      <c r="I28" s="127">
        <v>0.71875</v>
      </c>
      <c r="J28" s="227">
        <f t="shared" si="3"/>
        <v>3.9999999999999991</v>
      </c>
      <c r="K28" s="115">
        <v>8.5</v>
      </c>
      <c r="L28" s="147">
        <f t="shared" si="0"/>
        <v>8.5</v>
      </c>
      <c r="M28" s="205"/>
      <c r="N28" s="250">
        <f t="shared" si="1"/>
        <v>1.0000000000000053</v>
      </c>
      <c r="O28" s="268" t="s">
        <v>72</v>
      </c>
      <c r="P28" s="269">
        <v>4.5</v>
      </c>
      <c r="Q28" s="269" t="s">
        <v>338</v>
      </c>
      <c r="R28" s="269">
        <v>4</v>
      </c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1" ht="16.05" customHeight="1" thickTop="1" thickBot="1" x14ac:dyDescent="0.35">
      <c r="A29" s="150"/>
      <c r="B29" s="487"/>
      <c r="C29" s="206" t="s">
        <v>95</v>
      </c>
      <c r="D29" s="126">
        <v>44616</v>
      </c>
      <c r="E29" s="208">
        <v>0.34375</v>
      </c>
      <c r="F29" s="208">
        <v>0.52083333333333337</v>
      </c>
      <c r="G29" s="132">
        <f t="shared" si="2"/>
        <v>4.2500000000000009</v>
      </c>
      <c r="H29" s="208">
        <v>0.55208333333333337</v>
      </c>
      <c r="I29" s="208">
        <v>0.71875</v>
      </c>
      <c r="J29" s="132">
        <f t="shared" si="3"/>
        <v>3.9999999999999991</v>
      </c>
      <c r="K29" s="209">
        <v>8.5</v>
      </c>
      <c r="L29" s="210">
        <f t="shared" si="0"/>
        <v>8.25</v>
      </c>
      <c r="M29" s="211"/>
      <c r="N29" s="249">
        <f t="shared" si="1"/>
        <v>0.75000000000000533</v>
      </c>
      <c r="O29" s="267" t="s">
        <v>72</v>
      </c>
      <c r="P29" s="266">
        <v>4.5</v>
      </c>
      <c r="Q29" s="266" t="s">
        <v>12</v>
      </c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</row>
    <row r="30" spans="1:41" ht="16.05" customHeight="1" thickTop="1" thickBot="1" x14ac:dyDescent="0.35">
      <c r="A30" s="150"/>
      <c r="B30" s="487"/>
      <c r="C30" s="125" t="s">
        <v>96</v>
      </c>
      <c r="D30" s="126">
        <v>44617</v>
      </c>
      <c r="E30" s="127">
        <v>0.34375</v>
      </c>
      <c r="F30" s="127">
        <v>0.52083333333333337</v>
      </c>
      <c r="G30" s="227">
        <f t="shared" si="2"/>
        <v>4.2500000000000009</v>
      </c>
      <c r="H30" s="127">
        <v>0.55208333333333337</v>
      </c>
      <c r="I30" s="127">
        <v>0.70833333333333337</v>
      </c>
      <c r="J30" s="227">
        <f t="shared" si="3"/>
        <v>3.75</v>
      </c>
      <c r="K30" s="115">
        <v>8</v>
      </c>
      <c r="L30" s="147">
        <f t="shared" si="0"/>
        <v>8</v>
      </c>
      <c r="M30" s="205"/>
      <c r="N30" s="250">
        <f t="shared" si="1"/>
        <v>0.75000000000000533</v>
      </c>
      <c r="O30" s="268" t="s">
        <v>72</v>
      </c>
      <c r="P30" s="269">
        <v>4</v>
      </c>
      <c r="Q30" s="269" t="s">
        <v>12</v>
      </c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</row>
    <row r="31" spans="1:41" ht="1.35" customHeight="1" thickTop="1" thickBot="1" x14ac:dyDescent="0.35">
      <c r="A31" s="150"/>
      <c r="B31" s="185"/>
      <c r="C31" s="143" t="s">
        <v>97</v>
      </c>
      <c r="D31" s="126">
        <v>44618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0.75000000000000533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1" ht="1.35" customHeight="1" thickTop="1" thickBot="1" x14ac:dyDescent="0.35">
      <c r="A32" s="150"/>
      <c r="B32" s="185"/>
      <c r="C32" s="143" t="s">
        <v>98</v>
      </c>
      <c r="D32" s="126">
        <v>44619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0.75000000000000533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1" ht="16.05" customHeight="1" thickTop="1" thickBot="1" x14ac:dyDescent="0.35">
      <c r="A33" s="150"/>
      <c r="B33" s="487">
        <f>_xlfn.ISOWEEKNUM(D33)</f>
        <v>9</v>
      </c>
      <c r="C33" s="206" t="s">
        <v>99</v>
      </c>
      <c r="D33" s="126">
        <v>44620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0.75000000000000533</v>
      </c>
      <c r="O33" s="267"/>
      <c r="P33" s="266"/>
      <c r="Q33" s="266"/>
      <c r="R33" s="266"/>
      <c r="S33" s="266"/>
      <c r="T33" s="266"/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1" ht="16.05" customHeight="1" thickTop="1" thickBot="1" x14ac:dyDescent="0.35">
      <c r="A34" s="150"/>
      <c r="B34" s="487"/>
      <c r="C34" s="125" t="s">
        <v>93</v>
      </c>
      <c r="D34" s="126">
        <v>44621</v>
      </c>
      <c r="E34" s="127">
        <v>0.34375</v>
      </c>
      <c r="F34" s="282">
        <v>0.51041666666666663</v>
      </c>
      <c r="G34" s="227">
        <f t="shared" si="2"/>
        <v>3.9999999999999991</v>
      </c>
      <c r="H34" s="282">
        <v>0.54166666666666663</v>
      </c>
      <c r="I34" s="127">
        <v>0.72916666666666663</v>
      </c>
      <c r="J34" s="227">
        <f t="shared" si="3"/>
        <v>4.5</v>
      </c>
      <c r="K34" s="115">
        <v>8.5</v>
      </c>
      <c r="L34" s="286">
        <f t="shared" si="0"/>
        <v>8.5</v>
      </c>
      <c r="M34" s="205"/>
      <c r="N34" s="250">
        <f t="shared" si="1"/>
        <v>0.75000000000000533</v>
      </c>
      <c r="O34" s="268" t="s">
        <v>72</v>
      </c>
      <c r="P34" s="269">
        <v>4.5</v>
      </c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1" ht="16.05" customHeight="1" thickTop="1" thickBot="1" x14ac:dyDescent="0.35">
      <c r="A35" s="150"/>
      <c r="B35" s="487"/>
      <c r="C35" s="206"/>
      <c r="D35" s="126">
        <v>44622</v>
      </c>
      <c r="E35" s="220"/>
      <c r="F35" s="220"/>
      <c r="G35" s="132">
        <f t="shared" si="2"/>
        <v>0</v>
      </c>
      <c r="H35" s="220"/>
      <c r="I35" s="220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0.75000000000000533</v>
      </c>
      <c r="O35" s="276"/>
      <c r="P35" s="277"/>
      <c r="Q35" s="277"/>
      <c r="R35" s="277"/>
      <c r="S35" s="277"/>
      <c r="T35" s="277"/>
      <c r="U35" s="334"/>
      <c r="V35" s="225"/>
      <c r="W35" s="224"/>
      <c r="X35" s="226"/>
      <c r="Y35" s="121"/>
      <c r="AL35" s="263"/>
      <c r="AO35" s="263"/>
    </row>
    <row r="36" spans="1:41" ht="16.350000000000001" customHeight="1" thickTop="1" thickBot="1" x14ac:dyDescent="0.35">
      <c r="A36" s="150"/>
      <c r="B36" s="487"/>
      <c r="C36" s="125"/>
      <c r="D36" s="126">
        <v>44623</v>
      </c>
      <c r="E36" s="127">
        <v>0.35416666666666669</v>
      </c>
      <c r="F36" s="282">
        <v>0.53125</v>
      </c>
      <c r="G36" s="227">
        <f t="shared" si="2"/>
        <v>4.25</v>
      </c>
      <c r="H36" s="282">
        <v>0.5625</v>
      </c>
      <c r="I36" s="127">
        <v>0.73958333333333337</v>
      </c>
      <c r="J36" s="227">
        <f t="shared" si="3"/>
        <v>4.2500000000000009</v>
      </c>
      <c r="K36" s="115">
        <v>8.5</v>
      </c>
      <c r="L36" s="281">
        <f t="shared" si="0"/>
        <v>8.5000000000000018</v>
      </c>
      <c r="M36" s="205"/>
      <c r="N36" s="250">
        <f>IF(L36&gt;0,(L36-K36)+N35,+N35)</f>
        <v>0.75000000000000711</v>
      </c>
      <c r="O36" s="278"/>
      <c r="P36" s="279"/>
      <c r="Q36" s="279"/>
      <c r="R36" s="279"/>
      <c r="S36" s="279"/>
      <c r="T36" s="279"/>
      <c r="U36" s="335"/>
      <c r="V36" s="242"/>
      <c r="W36" s="241"/>
      <c r="X36" s="243"/>
      <c r="Y36" s="121"/>
      <c r="AL36" s="263">
        <f>SUM(AL23:AL34)</f>
        <v>0</v>
      </c>
      <c r="AO36" s="263">
        <f>SUM(AO23:AO34)</f>
        <v>0</v>
      </c>
    </row>
    <row r="37" spans="1:41" ht="16.350000000000001" customHeight="1" thickTop="1" thickBot="1" x14ac:dyDescent="0.35">
      <c r="B37" s="244"/>
      <c r="C37" s="206"/>
      <c r="D37" s="126">
        <v>44624</v>
      </c>
      <c r="E37" s="220"/>
      <c r="F37" s="220"/>
      <c r="G37" s="132">
        <f t="shared" si="2"/>
        <v>0</v>
      </c>
      <c r="H37" s="220"/>
      <c r="I37" s="220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0.75000000000000711</v>
      </c>
      <c r="O37" s="276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1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L5+L6+L7+L8+L9+L12+L13+L14+L15+L16+L19+L20+L21+L22+L23+L26+L27+L28+L29+L30+L33+L34</f>
        <v>177.25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</row>
    <row r="39" spans="1:41" ht="15" thickTop="1" thickBot="1" x14ac:dyDescent="0.3">
      <c r="C39" s="138"/>
      <c r="P39" s="139"/>
      <c r="Q39" s="140"/>
      <c r="U39" s="176"/>
    </row>
    <row r="40" spans="1:41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</row>
    <row r="41" spans="1:41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</row>
    <row r="42" spans="1:41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</row>
    <row r="43" spans="1:41" x14ac:dyDescent="0.25">
      <c r="C43" s="493"/>
      <c r="D43" s="494"/>
      <c r="E43" s="505">
        <f>SUMIF(O5:O37,"Clair*",P5:P37)+SUMIF(Q5:Q37,"Clair*",R5:R37)+SUMIF(S5:S37,"Clair*",T5:T37)</f>
        <v>0</v>
      </c>
      <c r="F43" s="506"/>
    </row>
    <row r="44" spans="1:41" x14ac:dyDescent="0.25">
      <c r="C44" s="493"/>
      <c r="D44" s="494"/>
      <c r="E44" s="505">
        <f>SUMIF(O5:O37,"Clair*",P5:P37)+SUMIF(Q5:Q37,"Clair*",R5:R37)+SUMIF(S5:S37,"Clair*",T5:T37)</f>
        <v>0</v>
      </c>
      <c r="F44" s="506"/>
    </row>
    <row r="45" spans="1:41" x14ac:dyDescent="0.25">
      <c r="C45" s="493"/>
      <c r="D45" s="494"/>
      <c r="E45" s="505">
        <f>SUMIF(O5:O37,"Clair*",P5:P37)+SUMIF(Q5:Q37,"Clair*",R5:R37)+SUMIF(S5:S37,"Clair*",T5:T37)</f>
        <v>0</v>
      </c>
      <c r="F45" s="506"/>
    </row>
    <row r="46" spans="1:41" x14ac:dyDescent="0.25">
      <c r="C46" s="493"/>
      <c r="D46" s="494"/>
      <c r="E46" s="505">
        <f>SUMIF(O5:O37,"Clair*",P5:P37)+SUMIF(Q5:Q37,"Clair*",R5:R37)+SUMIF(S5:S37,"Clair*",T5:T37)</f>
        <v>0</v>
      </c>
      <c r="F46" s="506"/>
    </row>
    <row r="47" spans="1:41" x14ac:dyDescent="0.25">
      <c r="C47" s="493"/>
      <c r="D47" s="494"/>
      <c r="E47" s="505">
        <f>SUMIF(O5:O37,"Clair*",P5:P37)+SUMIF(Q5:Q37,"Clair*",R5:R37)+SUMIF(S5:S37,"Clair*",T5:T37)</f>
        <v>0</v>
      </c>
      <c r="F47" s="506"/>
    </row>
    <row r="48" spans="1:41" x14ac:dyDescent="0.25">
      <c r="C48" s="493"/>
      <c r="D48" s="494"/>
      <c r="E48" s="507">
        <f>SUMIF(O5:O37,"Clair*",P5:P37)+SUMIF(Q5:Q37,"Clair*",R5:R37)+SUMIF(S5:S37,"Clair*",T5:T37)</f>
        <v>0</v>
      </c>
      <c r="F48" s="508"/>
    </row>
    <row r="49" spans="3:6" x14ac:dyDescent="0.25">
      <c r="C49" s="493"/>
      <c r="D49" s="494"/>
      <c r="E49" s="505">
        <f>SUMIF(O5:O37,"Clair*",P5:P37)+SUMIF(Q5:Q37,"Clair*",R5:R37)+SUMIF(S5:S37,"Clair*",T5:T37)</f>
        <v>0</v>
      </c>
      <c r="F49" s="506"/>
    </row>
    <row r="50" spans="3:6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6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  <c r="D55" s="284"/>
      <c r="E55" s="284"/>
      <c r="F55" s="284"/>
    </row>
    <row r="56" spans="3:6" x14ac:dyDescent="0.25">
      <c r="C56" s="138"/>
      <c r="F56" s="285"/>
    </row>
    <row r="57" spans="3:6" x14ac:dyDescent="0.25">
      <c r="F57" s="285"/>
    </row>
    <row r="58" spans="3:6" x14ac:dyDescent="0.25">
      <c r="F58" s="285"/>
    </row>
    <row r="59" spans="3:6" x14ac:dyDescent="0.25">
      <c r="F59" s="285"/>
    </row>
    <row r="60" spans="3:6" x14ac:dyDescent="0.25">
      <c r="F60" s="285"/>
    </row>
    <row r="61" spans="3:6" x14ac:dyDescent="0.25">
      <c r="F61" s="285"/>
    </row>
    <row r="62" spans="3:6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11" x14ac:dyDescent="0.25">
      <c r="K1048576" s="117">
        <f>SUM(K1:K1048575)</f>
        <v>274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38" priority="2">
      <formula>D5=TODAY()</formula>
    </cfRule>
    <cfRule type="expression" dxfId="37" priority="3">
      <formula>D5&lt;TODAY()</formula>
    </cfRule>
  </conditionalFormatting>
  <conditionalFormatting sqref="G1">
    <cfRule type="expression" dxfId="36" priority="1">
      <formula>$F$1=$E$1</formula>
    </cfRule>
  </conditionalFormatting>
  <dataValidations disablePrompts="1" count="1">
    <dataValidation type="list" allowBlank="1" showInputMessage="1" showErrorMessage="1" sqref="E38 G38" xr:uid="{00000000-0002-0000-11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0">
    <tabColor theme="5" tint="0.59999389629810485"/>
    <pageSetUpPr fitToPage="1"/>
  </sheetPr>
  <dimension ref="A1:AS1048576"/>
  <sheetViews>
    <sheetView showGridLines="0" showZeros="0" showRuler="0" topLeftCell="B1" zoomScale="70" zoomScaleNormal="70" zoomScaleSheetLayoutView="100" zoomScalePageLayoutView="70" workbookViewId="0">
      <selection activeCell="L23" sqref="L23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11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43" width="11" style="117"/>
    <col min="44" max="45" width="12.3984375" style="117" customWidth="1"/>
    <col min="46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177</v>
      </c>
    </row>
    <row r="5" spans="1:43" ht="16.350000000000001" customHeight="1" thickTop="1" thickBot="1" x14ac:dyDescent="0.35">
      <c r="B5" s="487">
        <f>_xlfn.ISOWEEKNUM(D5)</f>
        <v>52</v>
      </c>
      <c r="C5" s="229" t="s">
        <v>99</v>
      </c>
      <c r="D5" s="126"/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7" si="0">(F5-E5+I5-H5)*24</f>
        <v>0</v>
      </c>
      <c r="M5" s="211"/>
      <c r="N5" s="249">
        <f t="shared" ref="N5:N34" si="1">IF(L5&gt;0,(L5-K5)+N4,+N4)</f>
        <v>0</v>
      </c>
      <c r="O5" s="267" t="s">
        <v>216</v>
      </c>
      <c r="P5" s="266">
        <v>8.5</v>
      </c>
      <c r="Q5" s="266"/>
      <c r="R5" s="266"/>
      <c r="S5" s="266"/>
      <c r="T5" s="266"/>
      <c r="U5" s="330" t="s">
        <v>335</v>
      </c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44621</v>
      </c>
      <c r="E6" s="127">
        <v>0.34375</v>
      </c>
      <c r="F6" s="282">
        <v>0.51041666666666663</v>
      </c>
      <c r="G6" s="227">
        <f t="shared" ref="G6:G37" si="2">(F6-E6)*24</f>
        <v>3.9999999999999991</v>
      </c>
      <c r="H6" s="282">
        <v>0.54166666666666663</v>
      </c>
      <c r="I6" s="127">
        <v>0.72916666666666663</v>
      </c>
      <c r="J6" s="227">
        <f t="shared" ref="J6:J37" si="3">(I6-H6)*24</f>
        <v>4.5</v>
      </c>
      <c r="K6" s="115">
        <v>8.5</v>
      </c>
      <c r="L6" s="147">
        <f t="shared" si="0"/>
        <v>8.5</v>
      </c>
      <c r="M6" s="205"/>
      <c r="N6" s="250">
        <f t="shared" si="1"/>
        <v>0</v>
      </c>
      <c r="O6" s="268" t="s">
        <v>72</v>
      </c>
      <c r="P6" s="269">
        <v>4.5</v>
      </c>
      <c r="Q6" s="269" t="s">
        <v>337</v>
      </c>
      <c r="R6" s="269">
        <v>4</v>
      </c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44622</v>
      </c>
      <c r="E7" s="208"/>
      <c r="F7" s="208"/>
      <c r="G7" s="132">
        <f t="shared" si="2"/>
        <v>0</v>
      </c>
      <c r="H7" s="208"/>
      <c r="I7" s="208">
        <v>0.35416666666666669</v>
      </c>
      <c r="J7" s="132">
        <f t="shared" si="3"/>
        <v>8.5</v>
      </c>
      <c r="K7" s="209">
        <v>8.5</v>
      </c>
      <c r="L7" s="210">
        <f t="shared" si="0"/>
        <v>8.5</v>
      </c>
      <c r="M7" s="211"/>
      <c r="N7" s="249">
        <f t="shared" si="1"/>
        <v>0</v>
      </c>
      <c r="O7" s="267" t="s">
        <v>375</v>
      </c>
      <c r="P7" s="266">
        <v>8.5</v>
      </c>
      <c r="Q7" s="266"/>
      <c r="R7" s="266"/>
      <c r="S7" s="266"/>
      <c r="T7" s="266"/>
      <c r="U7" s="326" t="s">
        <v>339</v>
      </c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44623</v>
      </c>
      <c r="E8" s="127">
        <v>0.35416666666666669</v>
      </c>
      <c r="F8" s="282">
        <v>0.53125</v>
      </c>
      <c r="G8" s="227">
        <f t="shared" si="2"/>
        <v>4.25</v>
      </c>
      <c r="H8" s="282">
        <v>0.5625</v>
      </c>
      <c r="I8" s="127">
        <v>0.73958333333333337</v>
      </c>
      <c r="J8" s="227">
        <f t="shared" si="3"/>
        <v>4.2500000000000009</v>
      </c>
      <c r="K8" s="115">
        <v>8.5</v>
      </c>
      <c r="L8" s="147">
        <f t="shared" si="0"/>
        <v>8.5000000000000018</v>
      </c>
      <c r="M8" s="205"/>
      <c r="N8" s="250">
        <f t="shared" si="1"/>
        <v>1.7763568394002505E-15</v>
      </c>
      <c r="O8" s="321" t="s">
        <v>72</v>
      </c>
      <c r="P8" s="269">
        <v>4.5</v>
      </c>
      <c r="Q8" s="270" t="s">
        <v>293</v>
      </c>
      <c r="R8" s="269">
        <v>4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44624</v>
      </c>
      <c r="E9" s="208"/>
      <c r="F9" s="208"/>
      <c r="G9" s="132">
        <f t="shared" si="2"/>
        <v>0</v>
      </c>
      <c r="H9" s="208"/>
      <c r="I9" s="208">
        <v>0.33333333333333331</v>
      </c>
      <c r="J9" s="132">
        <f t="shared" si="3"/>
        <v>8</v>
      </c>
      <c r="K9" s="209">
        <v>8</v>
      </c>
      <c r="L9" s="210">
        <f t="shared" si="0"/>
        <v>8</v>
      </c>
      <c r="M9" s="211"/>
      <c r="N9" s="249">
        <f t="shared" si="1"/>
        <v>1.7763568394002505E-15</v>
      </c>
      <c r="O9" s="267" t="s">
        <v>375</v>
      </c>
      <c r="P9" s="266">
        <v>8.5</v>
      </c>
      <c r="Q9" s="266"/>
      <c r="R9" s="266"/>
      <c r="S9" s="266"/>
      <c r="T9" s="266"/>
      <c r="U9" s="326" t="s">
        <v>339</v>
      </c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44625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>
        <f t="shared" si="0"/>
        <v>0</v>
      </c>
      <c r="M10" s="205"/>
      <c r="N10" s="250">
        <f t="shared" si="1"/>
        <v>1.7763568394002505E-15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44626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>
        <f t="shared" si="0"/>
        <v>0</v>
      </c>
      <c r="M11" s="205"/>
      <c r="N11" s="250">
        <f t="shared" si="1"/>
        <v>1.7763568394002505E-15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10</v>
      </c>
      <c r="C12" s="125" t="s">
        <v>99</v>
      </c>
      <c r="D12" s="126">
        <v>44627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1.7763568394002505E-15</v>
      </c>
      <c r="O12" s="268" t="s">
        <v>216</v>
      </c>
      <c r="P12" s="269">
        <v>8.5</v>
      </c>
      <c r="Q12" s="269"/>
      <c r="R12" s="269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44628</v>
      </c>
      <c r="E13" s="208">
        <v>0.34375</v>
      </c>
      <c r="F13" s="208">
        <v>0.5</v>
      </c>
      <c r="G13" s="132">
        <f t="shared" si="2"/>
        <v>3.75</v>
      </c>
      <c r="H13" s="208">
        <v>0.54166666666666663</v>
      </c>
      <c r="I13" s="208">
        <v>0.73958333333333337</v>
      </c>
      <c r="J13" s="132">
        <f t="shared" si="3"/>
        <v>4.7500000000000018</v>
      </c>
      <c r="K13" s="209">
        <v>8.5</v>
      </c>
      <c r="L13" s="210">
        <f t="shared" si="0"/>
        <v>8.5000000000000018</v>
      </c>
      <c r="M13" s="211"/>
      <c r="N13" s="249">
        <f t="shared" si="1"/>
        <v>3.5527136788005009E-15</v>
      </c>
      <c r="O13" s="267" t="s">
        <v>72</v>
      </c>
      <c r="P13" s="266">
        <v>4.5</v>
      </c>
      <c r="Q13" s="266" t="s">
        <v>293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44629</v>
      </c>
      <c r="E14" s="127"/>
      <c r="F14" s="127"/>
      <c r="G14" s="227">
        <f t="shared" si="2"/>
        <v>0</v>
      </c>
      <c r="H14" s="127"/>
      <c r="I14" s="127">
        <v>0.35416666666666669</v>
      </c>
      <c r="J14" s="227">
        <f t="shared" si="3"/>
        <v>8.5</v>
      </c>
      <c r="K14" s="115">
        <v>8.5</v>
      </c>
      <c r="L14" s="147">
        <f t="shared" si="0"/>
        <v>8.5</v>
      </c>
      <c r="M14" s="205"/>
      <c r="N14" s="250">
        <f t="shared" si="1"/>
        <v>3.5527136788005009E-15</v>
      </c>
      <c r="O14" s="268" t="s">
        <v>375</v>
      </c>
      <c r="P14" s="269">
        <v>8.5</v>
      </c>
      <c r="Q14" s="269"/>
      <c r="R14" s="269"/>
      <c r="S14" s="270"/>
      <c r="T14" s="269"/>
      <c r="U14" s="329" t="s">
        <v>339</v>
      </c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207">
        <v>44630</v>
      </c>
      <c r="E15" s="208">
        <v>0.34375</v>
      </c>
      <c r="F15" s="208">
        <v>0.51041666666666663</v>
      </c>
      <c r="G15" s="132">
        <f t="shared" si="2"/>
        <v>3.9999999999999991</v>
      </c>
      <c r="H15" s="208">
        <v>0.54166666666666663</v>
      </c>
      <c r="I15" s="208">
        <v>0.72916666666666663</v>
      </c>
      <c r="J15" s="132">
        <f t="shared" si="3"/>
        <v>4.5</v>
      </c>
      <c r="K15" s="209">
        <v>8.5</v>
      </c>
      <c r="L15" s="210">
        <f t="shared" si="0"/>
        <v>8.5</v>
      </c>
      <c r="M15" s="211"/>
      <c r="N15" s="249">
        <f t="shared" si="1"/>
        <v>3.5527136788005009E-15</v>
      </c>
      <c r="O15" s="266" t="s">
        <v>72</v>
      </c>
      <c r="P15" s="266">
        <v>4.5</v>
      </c>
      <c r="Q15" s="266" t="s">
        <v>298</v>
      </c>
      <c r="R15" s="266">
        <v>4</v>
      </c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/>
      <c r="B16" s="487"/>
      <c r="C16" s="125" t="s">
        <v>96</v>
      </c>
      <c r="D16" s="126">
        <v>44631</v>
      </c>
      <c r="E16" s="127"/>
      <c r="F16" s="127"/>
      <c r="G16" s="227">
        <f t="shared" si="2"/>
        <v>0</v>
      </c>
      <c r="H16" s="127"/>
      <c r="I16" s="127">
        <v>0.33333333333333331</v>
      </c>
      <c r="J16" s="227">
        <f t="shared" si="3"/>
        <v>8</v>
      </c>
      <c r="K16" s="115">
        <v>8</v>
      </c>
      <c r="L16" s="147">
        <f t="shared" si="0"/>
        <v>8</v>
      </c>
      <c r="M16" s="205"/>
      <c r="N16" s="250">
        <f t="shared" si="1"/>
        <v>3.5527136788005009E-15</v>
      </c>
      <c r="O16" s="269" t="s">
        <v>375</v>
      </c>
      <c r="P16" s="269">
        <v>8.5</v>
      </c>
      <c r="Q16" s="269"/>
      <c r="R16" s="269"/>
      <c r="S16" s="270"/>
      <c r="T16" s="269"/>
      <c r="U16" s="329" t="s">
        <v>339</v>
      </c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44632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>
        <f t="shared" si="0"/>
        <v>0</v>
      </c>
      <c r="M17" s="205"/>
      <c r="N17" s="250">
        <f t="shared" si="1"/>
        <v>3.5527136788005009E-15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44633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>
        <f t="shared" si="0"/>
        <v>0</v>
      </c>
      <c r="M18" s="205"/>
      <c r="N18" s="250">
        <f t="shared" si="1"/>
        <v>3.5527136788005009E-15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11</v>
      </c>
      <c r="C19" s="206" t="s">
        <v>99</v>
      </c>
      <c r="D19" s="207">
        <v>44634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3.5527136788005009E-15</v>
      </c>
      <c r="O19" s="267" t="s">
        <v>216</v>
      </c>
      <c r="P19" s="266">
        <v>8.5</v>
      </c>
      <c r="Q19" s="266"/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44635</v>
      </c>
      <c r="E20" s="127">
        <v>0.34375</v>
      </c>
      <c r="F20" s="127">
        <v>0.51041666666666663</v>
      </c>
      <c r="G20" s="227">
        <f t="shared" si="2"/>
        <v>3.9999999999999991</v>
      </c>
      <c r="H20" s="127">
        <v>0.54166666666666663</v>
      </c>
      <c r="I20" s="127">
        <v>0.72916666666666663</v>
      </c>
      <c r="J20" s="227">
        <f t="shared" si="3"/>
        <v>4.5</v>
      </c>
      <c r="K20" s="115">
        <v>8.5</v>
      </c>
      <c r="L20" s="147">
        <f t="shared" si="0"/>
        <v>8.5</v>
      </c>
      <c r="M20" s="205"/>
      <c r="N20" s="250">
        <f t="shared" si="1"/>
        <v>3.5527136788005009E-15</v>
      </c>
      <c r="O20" s="269" t="s">
        <v>72</v>
      </c>
      <c r="P20" s="269">
        <v>4.5</v>
      </c>
      <c r="Q20" s="269" t="s">
        <v>293</v>
      </c>
      <c r="R20" s="269">
        <v>4</v>
      </c>
      <c r="T20" s="176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207">
        <v>44636</v>
      </c>
      <c r="E21" s="208"/>
      <c r="F21" s="208"/>
      <c r="G21" s="132">
        <f t="shared" si="2"/>
        <v>0</v>
      </c>
      <c r="H21" s="208"/>
      <c r="I21" s="208">
        <v>0.35416666666666669</v>
      </c>
      <c r="J21" s="132">
        <f t="shared" si="3"/>
        <v>8.5</v>
      </c>
      <c r="K21" s="209">
        <v>8.5</v>
      </c>
      <c r="L21" s="210">
        <f t="shared" si="0"/>
        <v>8.5</v>
      </c>
      <c r="M21" s="211"/>
      <c r="N21" s="249">
        <f t="shared" si="1"/>
        <v>3.5527136788005009E-15</v>
      </c>
      <c r="O21" s="267" t="s">
        <v>375</v>
      </c>
      <c r="P21" s="266">
        <v>8.5</v>
      </c>
      <c r="Q21" s="266"/>
      <c r="R21" s="266"/>
      <c r="S21" s="266"/>
      <c r="T21" s="266"/>
      <c r="U21" s="326" t="s">
        <v>339</v>
      </c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44637</v>
      </c>
      <c r="E22" s="127"/>
      <c r="F22" s="127"/>
      <c r="G22" s="227">
        <f t="shared" si="2"/>
        <v>0</v>
      </c>
      <c r="H22" s="127"/>
      <c r="I22" s="127">
        <v>0.35416666666666669</v>
      </c>
      <c r="J22" s="227">
        <f t="shared" si="3"/>
        <v>8.5</v>
      </c>
      <c r="K22" s="115">
        <v>8.5</v>
      </c>
      <c r="L22" s="147"/>
      <c r="M22" s="205"/>
      <c r="N22" s="250">
        <f t="shared" si="1"/>
        <v>3.5527136788005009E-15</v>
      </c>
      <c r="O22" s="268" t="s">
        <v>374</v>
      </c>
      <c r="P22" s="269"/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207">
        <v>44638</v>
      </c>
      <c r="E23" s="208"/>
      <c r="F23" s="208"/>
      <c r="G23" s="132">
        <f t="shared" si="2"/>
        <v>0</v>
      </c>
      <c r="H23" s="208"/>
      <c r="I23" s="208">
        <v>0.33333333333333331</v>
      </c>
      <c r="J23" s="132">
        <f t="shared" si="3"/>
        <v>8</v>
      </c>
      <c r="K23" s="209">
        <v>8</v>
      </c>
      <c r="L23" s="210"/>
      <c r="M23" s="211"/>
      <c r="N23" s="249">
        <f t="shared" si="1"/>
        <v>3.5527136788005009E-15</v>
      </c>
      <c r="O23" s="267" t="s">
        <v>374</v>
      </c>
      <c r="P23" s="266"/>
      <c r="Q23" s="266"/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44639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>
        <f t="shared" si="0"/>
        <v>0</v>
      </c>
      <c r="M24" s="205"/>
      <c r="N24" s="250">
        <f t="shared" si="1"/>
        <v>3.5527136788005009E-15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44640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>
        <f t="shared" si="0"/>
        <v>0</v>
      </c>
      <c r="M25" s="205"/>
      <c r="N25" s="250">
        <f t="shared" si="1"/>
        <v>3.5527136788005009E-15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12</v>
      </c>
      <c r="C26" s="125" t="s">
        <v>99</v>
      </c>
      <c r="D26" s="126">
        <v>44641</v>
      </c>
      <c r="E26" s="127"/>
      <c r="F26" s="127"/>
      <c r="G26" s="227">
        <f t="shared" si="2"/>
        <v>0</v>
      </c>
      <c r="H26" s="127"/>
      <c r="I26" s="127">
        <v>0.35416666666666669</v>
      </c>
      <c r="J26" s="227">
        <f t="shared" si="3"/>
        <v>8.5</v>
      </c>
      <c r="K26" s="115">
        <v>8.5</v>
      </c>
      <c r="L26" s="147">
        <f t="shared" si="0"/>
        <v>8.5</v>
      </c>
      <c r="M26" s="205"/>
      <c r="N26" s="250">
        <f t="shared" si="1"/>
        <v>3.5527136788005009E-15</v>
      </c>
      <c r="O26" s="268" t="s">
        <v>216</v>
      </c>
      <c r="P26" s="269">
        <v>8.5</v>
      </c>
      <c r="Q26" s="269"/>
      <c r="R26" s="269"/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207">
        <v>44642</v>
      </c>
      <c r="E27" s="208">
        <v>0.34375</v>
      </c>
      <c r="F27" s="208">
        <v>0.5</v>
      </c>
      <c r="G27" s="436">
        <f t="shared" si="2"/>
        <v>3.75</v>
      </c>
      <c r="H27" s="208">
        <v>0.54166666666666663</v>
      </c>
      <c r="I27" s="208">
        <v>0.76041666666666663</v>
      </c>
      <c r="J27" s="132">
        <f t="shared" si="3"/>
        <v>5.25</v>
      </c>
      <c r="K27" s="209">
        <v>8.5</v>
      </c>
      <c r="L27" s="210">
        <f t="shared" si="0"/>
        <v>9</v>
      </c>
      <c r="M27" s="211"/>
      <c r="N27" s="249">
        <f t="shared" si="1"/>
        <v>0.50000000000000355</v>
      </c>
      <c r="O27" s="267" t="s">
        <v>72</v>
      </c>
      <c r="P27" s="266">
        <v>4.5</v>
      </c>
      <c r="Q27" s="266" t="s">
        <v>293</v>
      </c>
      <c r="R27" s="266">
        <v>4.5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44643</v>
      </c>
      <c r="E28" s="127"/>
      <c r="F28" s="127"/>
      <c r="G28" s="227">
        <f t="shared" si="2"/>
        <v>0</v>
      </c>
      <c r="H28" s="127"/>
      <c r="I28" s="127">
        <v>0.35416666666666669</v>
      </c>
      <c r="J28" s="227">
        <f t="shared" si="3"/>
        <v>8.5</v>
      </c>
      <c r="K28" s="115">
        <v>8.5</v>
      </c>
      <c r="L28" s="147">
        <f t="shared" si="0"/>
        <v>8.5</v>
      </c>
      <c r="M28" s="205"/>
      <c r="N28" s="250">
        <f t="shared" si="1"/>
        <v>0.50000000000000355</v>
      </c>
      <c r="O28" s="268" t="s">
        <v>375</v>
      </c>
      <c r="P28" s="269">
        <v>8.5</v>
      </c>
      <c r="Q28" s="269"/>
      <c r="R28" s="269"/>
      <c r="S28" s="269"/>
      <c r="T28" s="269"/>
      <c r="U28" s="329" t="s">
        <v>339</v>
      </c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207">
        <v>44644</v>
      </c>
      <c r="E29" s="208">
        <v>0.40625</v>
      </c>
      <c r="F29" s="208">
        <v>0.51041666666666663</v>
      </c>
      <c r="G29" s="132">
        <f t="shared" si="2"/>
        <v>2.4999999999999991</v>
      </c>
      <c r="H29" s="208">
        <v>0.54166666666666663</v>
      </c>
      <c r="I29" s="208">
        <v>0.75</v>
      </c>
      <c r="J29" s="132">
        <f t="shared" si="3"/>
        <v>5.0000000000000009</v>
      </c>
      <c r="K29" s="209">
        <v>8.5</v>
      </c>
      <c r="L29" s="210">
        <f t="shared" si="0"/>
        <v>7.5</v>
      </c>
      <c r="M29" s="211"/>
      <c r="N29" s="249">
        <f t="shared" si="1"/>
        <v>-0.49999999999999645</v>
      </c>
      <c r="O29" s="267" t="s">
        <v>72</v>
      </c>
      <c r="P29" s="266">
        <v>4.5</v>
      </c>
      <c r="Q29" s="266" t="s">
        <v>380</v>
      </c>
      <c r="R29" s="266">
        <v>3</v>
      </c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44645</v>
      </c>
      <c r="E30" s="127"/>
      <c r="F30" s="127"/>
      <c r="G30" s="227">
        <f t="shared" si="2"/>
        <v>0</v>
      </c>
      <c r="H30" s="127"/>
      <c r="I30" s="127">
        <v>0.33333333333333331</v>
      </c>
      <c r="J30" s="227">
        <f t="shared" si="3"/>
        <v>8</v>
      </c>
      <c r="K30" s="115">
        <v>8</v>
      </c>
      <c r="L30" s="147">
        <f t="shared" si="0"/>
        <v>8</v>
      </c>
      <c r="M30" s="205"/>
      <c r="N30" s="250">
        <f t="shared" si="1"/>
        <v>-0.49999999999999645</v>
      </c>
      <c r="O30" s="268" t="s">
        <v>375</v>
      </c>
      <c r="P30" s="269">
        <v>8.5</v>
      </c>
      <c r="Q30" s="269"/>
      <c r="R30" s="269"/>
      <c r="S30" s="269"/>
      <c r="T30" s="269"/>
      <c r="U30" s="329" t="s">
        <v>339</v>
      </c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44646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>
        <f t="shared" si="0"/>
        <v>0</v>
      </c>
      <c r="M31" s="205"/>
      <c r="N31" s="250">
        <f t="shared" si="1"/>
        <v>-0.49999999999999645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44647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>
        <f t="shared" si="0"/>
        <v>0</v>
      </c>
      <c r="M32" s="205"/>
      <c r="N32" s="250">
        <f t="shared" si="1"/>
        <v>-0.49999999999999645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13</v>
      </c>
      <c r="C33" s="206" t="s">
        <v>99</v>
      </c>
      <c r="D33" s="207">
        <v>44648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-0.49999999999999645</v>
      </c>
      <c r="O33" s="267" t="s">
        <v>216</v>
      </c>
      <c r="P33" s="266">
        <v>8.5</v>
      </c>
      <c r="Q33" s="266"/>
      <c r="R33" s="266"/>
      <c r="S33" s="266"/>
      <c r="T33" s="266"/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44649</v>
      </c>
      <c r="E34" s="127">
        <v>0.34375</v>
      </c>
      <c r="F34" s="282">
        <v>0.51041666666666663</v>
      </c>
      <c r="G34" s="227">
        <f t="shared" si="2"/>
        <v>3.9999999999999991</v>
      </c>
      <c r="H34" s="282">
        <v>0.54166666666666663</v>
      </c>
      <c r="I34" s="127">
        <v>0.75</v>
      </c>
      <c r="J34" s="227">
        <f t="shared" si="3"/>
        <v>5.0000000000000009</v>
      </c>
      <c r="K34" s="115">
        <v>8.5</v>
      </c>
      <c r="L34" s="147">
        <f t="shared" si="0"/>
        <v>9</v>
      </c>
      <c r="M34" s="205"/>
      <c r="N34" s="250">
        <f t="shared" si="1"/>
        <v>3.5527136788005009E-15</v>
      </c>
      <c r="O34" s="268" t="s">
        <v>72</v>
      </c>
      <c r="P34" s="269">
        <v>4.5</v>
      </c>
      <c r="Q34" s="269" t="s">
        <v>298</v>
      </c>
      <c r="R34" s="269">
        <v>4.5</v>
      </c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207">
        <v>44650</v>
      </c>
      <c r="E35" s="220"/>
      <c r="F35" s="220"/>
      <c r="G35" s="132">
        <f t="shared" si="2"/>
        <v>0</v>
      </c>
      <c r="H35" s="220"/>
      <c r="I35" s="337">
        <v>0.35416666666666669</v>
      </c>
      <c r="J35" s="132">
        <f t="shared" si="3"/>
        <v>8.5</v>
      </c>
      <c r="K35" s="221">
        <v>8.5</v>
      </c>
      <c r="L35" s="210">
        <f t="shared" si="0"/>
        <v>8.5</v>
      </c>
      <c r="M35" s="211"/>
      <c r="N35" s="249">
        <f>IF(L35&gt;0,(L35-K35)+N34,+N34)</f>
        <v>3.5527136788005009E-15</v>
      </c>
      <c r="O35" s="276" t="s">
        <v>375</v>
      </c>
      <c r="P35" s="277">
        <v>8.5</v>
      </c>
      <c r="Q35" s="277"/>
      <c r="R35" s="277"/>
      <c r="S35" s="277"/>
      <c r="T35" s="277"/>
      <c r="U35" s="326" t="s">
        <v>339</v>
      </c>
      <c r="V35" s="225"/>
      <c r="W35" s="224"/>
      <c r="X35" s="22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44651</v>
      </c>
      <c r="E36" s="127">
        <v>0.33333333333333331</v>
      </c>
      <c r="F36" s="282">
        <v>0.5</v>
      </c>
      <c r="G36" s="227">
        <f t="shared" si="2"/>
        <v>4</v>
      </c>
      <c r="H36" s="282">
        <v>0.54166666666666663</v>
      </c>
      <c r="I36" s="127">
        <v>0.72916666666666663</v>
      </c>
      <c r="J36" s="227">
        <f t="shared" si="3"/>
        <v>4.5</v>
      </c>
      <c r="K36" s="115">
        <v>8.5</v>
      </c>
      <c r="L36" s="147">
        <f t="shared" si="0"/>
        <v>8.5</v>
      </c>
      <c r="M36" s="205"/>
      <c r="N36" s="250">
        <f>IF(L36&gt;0,(L36-K36)+N35,+N35)</f>
        <v>3.5527136788005009E-15</v>
      </c>
      <c r="O36" s="278" t="s">
        <v>72</v>
      </c>
      <c r="P36" s="279">
        <v>4.5</v>
      </c>
      <c r="Q36" s="279" t="s">
        <v>293</v>
      </c>
      <c r="R36" s="279">
        <v>4</v>
      </c>
      <c r="S36" s="279"/>
      <c r="T36" s="279"/>
      <c r="U36" s="335"/>
      <c r="V36" s="242"/>
      <c r="W36" s="241"/>
      <c r="X36" s="243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207">
        <v>44652</v>
      </c>
      <c r="E37" s="220"/>
      <c r="F37" s="220"/>
      <c r="G37" s="132">
        <f t="shared" si="2"/>
        <v>0</v>
      </c>
      <c r="H37" s="220"/>
      <c r="I37" s="220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3.5527136788005009E-15</v>
      </c>
      <c r="O37" s="276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SUM(L6:L36)</f>
        <v>177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/>
      <c r="D43" s="494"/>
      <c r="E43" s="505">
        <f>SUMIF(O5:O37,"Clair*",P5:P37)+SUMIF(Q5:Q37,"Clair*",R5:R37)+SUMIF(S5:S37,"Clair*",T5:T37)</f>
        <v>0</v>
      </c>
      <c r="F43" s="506"/>
      <c r="AR43" s="117">
        <v>214610</v>
      </c>
      <c r="AS43" s="117">
        <v>244159</v>
      </c>
    </row>
    <row r="44" spans="1:45" x14ac:dyDescent="0.25">
      <c r="C44" s="493"/>
      <c r="D44" s="494"/>
      <c r="E44" s="505">
        <f>SUMIF(O5:O37,"Clair*",P5:P37)+SUMIF(Q5:Q37,"Clair*",R5:R37)+SUMIF(S5:S37,"Clair*",T5:T37)</f>
        <v>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/>
      <c r="D45" s="494"/>
      <c r="E45" s="505">
        <f>SUMIF(O5:O37,"Clair*",P5:P37)+SUMIF(Q5:Q37,"Clair*",R5:R37)+SUMIF(S5:S37,"Clair*",T5:T37)</f>
        <v>0</v>
      </c>
      <c r="F45" s="506"/>
    </row>
    <row r="46" spans="1:45" x14ac:dyDescent="0.25">
      <c r="C46" s="493"/>
      <c r="D46" s="494"/>
      <c r="E46" s="505">
        <f>SUMIF(O5:O37,"Clair*",P5:P37)+SUMIF(Q5:Q37,"Clair*",R5:R37)+SUMIF(S5:S37,"Clair*",T5:T37)</f>
        <v>0</v>
      </c>
      <c r="F46" s="506"/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</row>
    <row r="49" spans="3:6" x14ac:dyDescent="0.25">
      <c r="C49" s="493"/>
      <c r="D49" s="494"/>
      <c r="E49" s="505">
        <f>SUMIF(O5:O37,"Clair*",P5:P37)+SUMIF(Q5:Q37,"Clair*",R5:R37)+SUMIF(S5:S37,"Clair*",T5:T37)</f>
        <v>0</v>
      </c>
      <c r="F49" s="506"/>
    </row>
    <row r="50" spans="3:6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6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  <c r="D55" s="284"/>
      <c r="E55" s="284"/>
      <c r="F55" s="284"/>
    </row>
    <row r="56" spans="3:6" x14ac:dyDescent="0.25">
      <c r="C56" s="138"/>
      <c r="F56" s="285"/>
    </row>
    <row r="57" spans="3:6" x14ac:dyDescent="0.25">
      <c r="F57" s="285"/>
    </row>
    <row r="58" spans="3:6" x14ac:dyDescent="0.25">
      <c r="F58" s="285"/>
    </row>
    <row r="59" spans="3:6" x14ac:dyDescent="0.25">
      <c r="F59" s="285"/>
    </row>
    <row r="60" spans="3:6" x14ac:dyDescent="0.25">
      <c r="F60" s="285"/>
    </row>
    <row r="61" spans="3:6" x14ac:dyDescent="0.25">
      <c r="F61" s="285"/>
    </row>
    <row r="62" spans="3:6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11" x14ac:dyDescent="0.25">
      <c r="K1048576" s="117">
        <f>SUM(K1:K1048575)</f>
        <v>274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35" priority="2">
      <formula>D5=TODAY()</formula>
    </cfRule>
    <cfRule type="expression" dxfId="34" priority="3">
      <formula>D5&lt;TODAY()</formula>
    </cfRule>
  </conditionalFormatting>
  <conditionalFormatting sqref="G1">
    <cfRule type="expression" dxfId="33" priority="1">
      <formula>$F$1=$E$1</formula>
    </cfRule>
  </conditionalFormatting>
  <dataValidations disablePrompts="1" count="1">
    <dataValidation type="list" allowBlank="1" showInputMessage="1" showErrorMessage="1" sqref="E38 G38" xr:uid="{00000000-0002-0000-12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1">
    <tabColor theme="5" tint="0.59999389629810485"/>
    <pageSetUpPr fitToPage="1"/>
  </sheetPr>
  <dimension ref="A1:AS1048576"/>
  <sheetViews>
    <sheetView showGridLines="0" showZeros="0" showRuler="0" topLeftCell="C15" zoomScale="130" zoomScaleNormal="130" zoomScaleSheetLayoutView="100" zoomScalePageLayoutView="70" workbookViewId="0">
      <selection activeCell="L38" sqref="L38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152</v>
      </c>
    </row>
    <row r="5" spans="1:43" ht="16.350000000000001" customHeight="1" thickTop="1" thickBot="1" x14ac:dyDescent="0.35">
      <c r="B5" s="487">
        <f>_xlfn.ISOWEEKNUM(D5)</f>
        <v>52</v>
      </c>
      <c r="C5" s="229" t="s">
        <v>99</v>
      </c>
      <c r="D5" s="126"/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7" si="0">(F5-E5+I5-H5)*24</f>
        <v>0</v>
      </c>
      <c r="M5" s="211"/>
      <c r="N5" s="249">
        <f t="shared" ref="N5:N34" si="1">IF(L5&gt;0,(L5-K5)+N4,+N4)</f>
        <v>0</v>
      </c>
      <c r="O5" s="267" t="s">
        <v>216</v>
      </c>
      <c r="P5" s="266">
        <v>8.5</v>
      </c>
      <c r="Q5" s="266"/>
      <c r="R5" s="266"/>
      <c r="S5" s="266"/>
      <c r="T5" s="266"/>
      <c r="U5" s="330" t="s">
        <v>335</v>
      </c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44621</v>
      </c>
      <c r="E6" s="127"/>
      <c r="F6" s="282"/>
      <c r="G6" s="227">
        <f t="shared" ref="G6:G37" si="2">(F6-E6)*24</f>
        <v>0</v>
      </c>
      <c r="H6" s="282"/>
      <c r="I6" s="127"/>
      <c r="J6" s="227">
        <f t="shared" ref="J6:J37" si="3">(I6-H6)*24</f>
        <v>0</v>
      </c>
      <c r="K6" s="115">
        <v>8.5</v>
      </c>
      <c r="L6" s="147">
        <f t="shared" si="0"/>
        <v>0</v>
      </c>
      <c r="M6" s="205"/>
      <c r="N6" s="250">
        <f t="shared" si="1"/>
        <v>0</v>
      </c>
      <c r="O6" s="268" t="s">
        <v>72</v>
      </c>
      <c r="P6" s="269">
        <v>4.5</v>
      </c>
      <c r="Q6" s="269" t="s">
        <v>298</v>
      </c>
      <c r="R6" s="269">
        <v>4.5</v>
      </c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44622</v>
      </c>
      <c r="E7" s="208"/>
      <c r="F7" s="208"/>
      <c r="G7" s="132">
        <f t="shared" si="2"/>
        <v>0</v>
      </c>
      <c r="H7" s="208"/>
      <c r="I7" s="208"/>
      <c r="J7" s="132">
        <f t="shared" si="3"/>
        <v>0</v>
      </c>
      <c r="K7" s="209">
        <v>8.5</v>
      </c>
      <c r="L7" s="210">
        <f t="shared" si="0"/>
        <v>0</v>
      </c>
      <c r="M7" s="211"/>
      <c r="N7" s="249">
        <f t="shared" si="1"/>
        <v>0</v>
      </c>
      <c r="O7" s="267" t="s">
        <v>375</v>
      </c>
      <c r="P7" s="266">
        <v>8.5</v>
      </c>
      <c r="Q7" s="266"/>
      <c r="R7" s="266"/>
      <c r="S7" s="266"/>
      <c r="T7" s="266"/>
      <c r="U7" s="326" t="s">
        <v>339</v>
      </c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44623</v>
      </c>
      <c r="E8" s="127"/>
      <c r="F8" s="282"/>
      <c r="G8" s="227">
        <f t="shared" si="2"/>
        <v>0</v>
      </c>
      <c r="H8" s="282"/>
      <c r="I8" s="127"/>
      <c r="J8" s="227">
        <f t="shared" si="3"/>
        <v>0</v>
      </c>
      <c r="K8" s="115">
        <v>8.5</v>
      </c>
      <c r="L8" s="147">
        <f t="shared" si="0"/>
        <v>0</v>
      </c>
      <c r="M8" s="205"/>
      <c r="N8" s="250">
        <f t="shared" si="1"/>
        <v>0</v>
      </c>
      <c r="O8" s="268" t="s">
        <v>72</v>
      </c>
      <c r="P8" s="269">
        <v>4.5</v>
      </c>
      <c r="Q8" s="269" t="s">
        <v>293</v>
      </c>
      <c r="R8" s="269">
        <v>4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44652</v>
      </c>
      <c r="E9" s="208">
        <v>0.33333333333333331</v>
      </c>
      <c r="F9" s="208">
        <v>0.51041666666666663</v>
      </c>
      <c r="G9" s="132">
        <f t="shared" si="2"/>
        <v>4.25</v>
      </c>
      <c r="H9" s="208">
        <v>0.5625</v>
      </c>
      <c r="I9" s="208">
        <v>0.71875</v>
      </c>
      <c r="J9" s="132">
        <f t="shared" si="3"/>
        <v>3.75</v>
      </c>
      <c r="K9" s="209">
        <v>8</v>
      </c>
      <c r="L9" s="210">
        <f t="shared" si="0"/>
        <v>7.9999999999999982</v>
      </c>
      <c r="M9" s="211"/>
      <c r="N9" s="249">
        <f t="shared" si="1"/>
        <v>-1.7763568394002505E-15</v>
      </c>
      <c r="O9" s="276" t="s">
        <v>72</v>
      </c>
      <c r="P9" s="277">
        <v>4</v>
      </c>
      <c r="Q9" s="277" t="s">
        <v>380</v>
      </c>
      <c r="R9" s="277">
        <v>4</v>
      </c>
      <c r="S9" s="266"/>
      <c r="T9" s="266"/>
      <c r="U9" s="326" t="s">
        <v>339</v>
      </c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44653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>
        <f t="shared" si="0"/>
        <v>0</v>
      </c>
      <c r="M10" s="205"/>
      <c r="N10" s="250">
        <f t="shared" si="1"/>
        <v>-1.7763568394002505E-15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44654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>
        <f t="shared" si="0"/>
        <v>0</v>
      </c>
      <c r="M11" s="205"/>
      <c r="N11" s="250">
        <f t="shared" si="1"/>
        <v>-1.7763568394002505E-15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14</v>
      </c>
      <c r="C12" s="125" t="s">
        <v>99</v>
      </c>
      <c r="D12" s="126">
        <v>44655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-1.7763568394002505E-15</v>
      </c>
      <c r="O12" s="268" t="s">
        <v>216</v>
      </c>
      <c r="P12" s="269">
        <v>8.5</v>
      </c>
      <c r="Q12" s="269"/>
      <c r="R12" s="269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44656</v>
      </c>
      <c r="E13" s="208">
        <v>0.34375</v>
      </c>
      <c r="F13" s="208">
        <v>0.51041666666666663</v>
      </c>
      <c r="G13" s="132">
        <f t="shared" si="2"/>
        <v>3.9999999999999991</v>
      </c>
      <c r="H13" s="208">
        <v>0.54166666666666663</v>
      </c>
      <c r="I13" s="208">
        <v>0.72916666666666663</v>
      </c>
      <c r="J13" s="132">
        <f t="shared" si="3"/>
        <v>4.5</v>
      </c>
      <c r="K13" s="209">
        <v>8.5</v>
      </c>
      <c r="L13" s="210">
        <f t="shared" si="0"/>
        <v>8.5</v>
      </c>
      <c r="M13" s="211"/>
      <c r="N13" s="249">
        <f t="shared" si="1"/>
        <v>-1.7763568394002505E-15</v>
      </c>
      <c r="O13" s="267" t="s">
        <v>72</v>
      </c>
      <c r="P13" s="266">
        <v>4.5</v>
      </c>
      <c r="Q13" s="266" t="s">
        <v>380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44657</v>
      </c>
      <c r="E14" s="127">
        <v>0</v>
      </c>
      <c r="F14" s="127"/>
      <c r="G14" s="227">
        <f t="shared" si="2"/>
        <v>0</v>
      </c>
      <c r="H14" s="127"/>
      <c r="I14" s="127">
        <v>0.35416666666666669</v>
      </c>
      <c r="J14" s="227">
        <f t="shared" si="3"/>
        <v>8.5</v>
      </c>
      <c r="K14" s="115">
        <v>8.5</v>
      </c>
      <c r="L14" s="147">
        <f t="shared" si="0"/>
        <v>8.5</v>
      </c>
      <c r="M14" s="205"/>
      <c r="N14" s="250">
        <f t="shared" si="1"/>
        <v>-1.7763568394002505E-15</v>
      </c>
      <c r="O14" s="268" t="s">
        <v>375</v>
      </c>
      <c r="P14" s="269">
        <v>8.5</v>
      </c>
      <c r="Q14" s="269"/>
      <c r="R14" s="269"/>
      <c r="S14" s="270"/>
      <c r="T14" s="269"/>
      <c r="U14" s="329" t="s">
        <v>339</v>
      </c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126">
        <v>44658</v>
      </c>
      <c r="E15" s="208">
        <v>0.33333333333333331</v>
      </c>
      <c r="F15" s="208">
        <v>0.51041666666666663</v>
      </c>
      <c r="G15" s="132">
        <f t="shared" si="2"/>
        <v>4.25</v>
      </c>
      <c r="H15" s="208">
        <v>0.54166666666666663</v>
      </c>
      <c r="I15" s="208">
        <v>0.70833333333333337</v>
      </c>
      <c r="J15" s="132">
        <f t="shared" si="3"/>
        <v>4.0000000000000018</v>
      </c>
      <c r="K15" s="209">
        <v>8.5</v>
      </c>
      <c r="L15" s="210">
        <f t="shared" si="0"/>
        <v>8.2500000000000036</v>
      </c>
      <c r="M15" s="211"/>
      <c r="N15" s="249">
        <f t="shared" si="1"/>
        <v>-0.24999999999999822</v>
      </c>
      <c r="O15" s="266" t="s">
        <v>72</v>
      </c>
      <c r="P15" s="266">
        <v>4.5</v>
      </c>
      <c r="Q15" s="266" t="s">
        <v>298</v>
      </c>
      <c r="R15" s="266">
        <v>3.75</v>
      </c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 t="s">
        <v>83</v>
      </c>
      <c r="B16" s="487"/>
      <c r="C16" s="125" t="s">
        <v>96</v>
      </c>
      <c r="D16" s="126">
        <v>44659</v>
      </c>
      <c r="E16" s="127">
        <v>0.33333333333333331</v>
      </c>
      <c r="F16" s="127">
        <v>0.51041666666666663</v>
      </c>
      <c r="G16" s="227">
        <f t="shared" si="2"/>
        <v>4.25</v>
      </c>
      <c r="H16" s="127">
        <v>0.54166666666666663</v>
      </c>
      <c r="I16" s="127">
        <v>0.71875</v>
      </c>
      <c r="J16" s="227">
        <f t="shared" si="3"/>
        <v>4.2500000000000009</v>
      </c>
      <c r="K16" s="115">
        <v>8</v>
      </c>
      <c r="L16" s="147">
        <f t="shared" si="0"/>
        <v>8.5</v>
      </c>
      <c r="M16" s="205"/>
      <c r="N16" s="250">
        <f t="shared" si="1"/>
        <v>0.25000000000000178</v>
      </c>
      <c r="O16" s="269" t="s">
        <v>72</v>
      </c>
      <c r="P16" s="269">
        <v>4</v>
      </c>
      <c r="Q16" s="269" t="s">
        <v>381</v>
      </c>
      <c r="R16" s="269">
        <v>4.5</v>
      </c>
      <c r="S16" s="270"/>
      <c r="T16" s="269"/>
      <c r="U16" s="329" t="s">
        <v>339</v>
      </c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44660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>
        <f t="shared" si="0"/>
        <v>0</v>
      </c>
      <c r="M17" s="205"/>
      <c r="N17" s="250">
        <f t="shared" si="1"/>
        <v>0.25000000000000178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44661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>
        <f t="shared" si="0"/>
        <v>0</v>
      </c>
      <c r="M18" s="205"/>
      <c r="N18" s="250">
        <f t="shared" si="1"/>
        <v>0.25000000000000178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15</v>
      </c>
      <c r="C19" s="206" t="s">
        <v>99</v>
      </c>
      <c r="D19" s="126">
        <v>44662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0.25000000000000178</v>
      </c>
      <c r="O19" s="267" t="s">
        <v>216</v>
      </c>
      <c r="P19" s="266">
        <v>8.5</v>
      </c>
      <c r="Q19" s="266"/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44663</v>
      </c>
      <c r="E20" s="127">
        <v>0.33333333333333331</v>
      </c>
      <c r="F20" s="127">
        <v>0.52083333333333337</v>
      </c>
      <c r="G20" s="227">
        <f t="shared" si="2"/>
        <v>4.5000000000000018</v>
      </c>
      <c r="H20" s="127">
        <v>0.55208333333333337</v>
      </c>
      <c r="I20" s="127">
        <v>0.71875</v>
      </c>
      <c r="J20" s="227">
        <f t="shared" si="3"/>
        <v>3.9999999999999991</v>
      </c>
      <c r="K20" s="115">
        <v>8.5</v>
      </c>
      <c r="L20" s="147">
        <f t="shared" si="0"/>
        <v>8.5</v>
      </c>
      <c r="M20" s="205"/>
      <c r="N20" s="250">
        <f t="shared" si="1"/>
        <v>0.25000000000000178</v>
      </c>
      <c r="O20" s="269" t="s">
        <v>72</v>
      </c>
      <c r="P20" s="269">
        <v>4.5</v>
      </c>
      <c r="Q20" s="269" t="s">
        <v>380</v>
      </c>
      <c r="R20" s="269">
        <v>4</v>
      </c>
      <c r="T20" s="176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44664</v>
      </c>
      <c r="E21" s="208">
        <v>0.34375</v>
      </c>
      <c r="F21" s="208">
        <v>0.52083333333333337</v>
      </c>
      <c r="G21" s="132">
        <f t="shared" si="2"/>
        <v>4.2500000000000009</v>
      </c>
      <c r="H21" s="208">
        <v>0.55208333333333337</v>
      </c>
      <c r="I21" s="208">
        <v>0.72916666666666663</v>
      </c>
      <c r="J21" s="132">
        <f t="shared" si="3"/>
        <v>4.2499999999999982</v>
      </c>
      <c r="K21" s="209">
        <v>8.5</v>
      </c>
      <c r="L21" s="210">
        <f t="shared" si="0"/>
        <v>8.5</v>
      </c>
      <c r="M21" s="211"/>
      <c r="N21" s="249">
        <f t="shared" si="1"/>
        <v>0.25000000000000178</v>
      </c>
      <c r="O21" s="267" t="s">
        <v>72</v>
      </c>
      <c r="P21" s="266">
        <v>4.5</v>
      </c>
      <c r="Q21" s="266" t="s">
        <v>139</v>
      </c>
      <c r="R21" s="266">
        <v>4</v>
      </c>
      <c r="S21" s="266"/>
      <c r="T21" s="266"/>
      <c r="U21" s="326" t="s">
        <v>339</v>
      </c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44665</v>
      </c>
      <c r="E22" s="127">
        <v>0.33333333333333331</v>
      </c>
      <c r="F22" s="127">
        <v>0.51041666666666663</v>
      </c>
      <c r="G22" s="227">
        <f t="shared" si="2"/>
        <v>4.25</v>
      </c>
      <c r="H22" s="127">
        <v>0.54166666666666663</v>
      </c>
      <c r="I22" s="127">
        <v>0.70833333333333337</v>
      </c>
      <c r="J22" s="227">
        <f t="shared" si="3"/>
        <v>4.0000000000000018</v>
      </c>
      <c r="K22" s="115">
        <v>8.5</v>
      </c>
      <c r="L22" s="147">
        <f t="shared" si="0"/>
        <v>8.2500000000000036</v>
      </c>
      <c r="M22" s="205"/>
      <c r="N22" s="250">
        <f t="shared" si="1"/>
        <v>5.3290705182007514E-15</v>
      </c>
      <c r="O22" s="268" t="s">
        <v>72</v>
      </c>
      <c r="P22" s="269">
        <v>4.5</v>
      </c>
      <c r="Q22" s="269" t="s">
        <v>293</v>
      </c>
      <c r="R22" s="269">
        <v>3.75</v>
      </c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44666</v>
      </c>
      <c r="E23" s="208"/>
      <c r="F23" s="208"/>
      <c r="G23" s="132">
        <f t="shared" si="2"/>
        <v>0</v>
      </c>
      <c r="H23" s="208"/>
      <c r="I23" s="208"/>
      <c r="J23" s="132">
        <f t="shared" si="3"/>
        <v>0</v>
      </c>
      <c r="K23" s="209">
        <v>8</v>
      </c>
      <c r="L23" s="147">
        <f t="shared" si="0"/>
        <v>0</v>
      </c>
      <c r="M23" s="211"/>
      <c r="N23" s="249">
        <f t="shared" si="1"/>
        <v>5.3290705182007514E-15</v>
      </c>
      <c r="O23" s="267"/>
      <c r="P23" s="266"/>
      <c r="Q23" s="266"/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44667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>
        <f t="shared" si="0"/>
        <v>0</v>
      </c>
      <c r="M24" s="205"/>
      <c r="N24" s="250">
        <f t="shared" si="1"/>
        <v>5.3290705182007514E-15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44668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>
        <f t="shared" si="0"/>
        <v>0</v>
      </c>
      <c r="M25" s="205"/>
      <c r="N25" s="250">
        <f t="shared" si="1"/>
        <v>5.3290705182007514E-15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16</v>
      </c>
      <c r="C26" s="125" t="s">
        <v>99</v>
      </c>
      <c r="D26" s="126">
        <v>44669</v>
      </c>
      <c r="E26" s="127"/>
      <c r="F26" s="127"/>
      <c r="G26" s="227">
        <f t="shared" si="2"/>
        <v>0</v>
      </c>
      <c r="H26" s="127"/>
      <c r="I26" s="127"/>
      <c r="J26" s="227">
        <f t="shared" si="3"/>
        <v>0</v>
      </c>
      <c r="K26" s="115">
        <v>8.5</v>
      </c>
      <c r="L26" s="147">
        <f t="shared" si="0"/>
        <v>0</v>
      </c>
      <c r="M26" s="205"/>
      <c r="N26" s="250">
        <f t="shared" si="1"/>
        <v>5.3290705182007514E-15</v>
      </c>
      <c r="O26" s="268"/>
      <c r="P26" s="269"/>
      <c r="Q26" s="269"/>
      <c r="R26" s="269"/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44670</v>
      </c>
      <c r="E27" s="208">
        <v>0.34375</v>
      </c>
      <c r="F27" s="208">
        <v>0.51041666666666663</v>
      </c>
      <c r="G27" s="132">
        <f t="shared" si="2"/>
        <v>3.9999999999999991</v>
      </c>
      <c r="H27" s="208">
        <v>0.54166666666666663</v>
      </c>
      <c r="I27" s="208">
        <v>0.72916666666666663</v>
      </c>
      <c r="J27" s="132">
        <f t="shared" si="3"/>
        <v>4.5</v>
      </c>
      <c r="K27" s="209">
        <v>8.5</v>
      </c>
      <c r="L27" s="210">
        <f t="shared" si="0"/>
        <v>8.5</v>
      </c>
      <c r="M27" s="211"/>
      <c r="N27" s="249">
        <f t="shared" si="1"/>
        <v>5.3290705182007514E-15</v>
      </c>
      <c r="O27" s="267" t="s">
        <v>72</v>
      </c>
      <c r="P27" s="266">
        <v>4.5</v>
      </c>
      <c r="Q27" s="266" t="s">
        <v>382</v>
      </c>
      <c r="R27" s="266">
        <v>4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44671</v>
      </c>
      <c r="E28" s="127">
        <v>0.35416666666666669</v>
      </c>
      <c r="F28" s="127">
        <v>0.51041666666666663</v>
      </c>
      <c r="G28" s="227">
        <f t="shared" si="2"/>
        <v>3.7499999999999987</v>
      </c>
      <c r="H28" s="127">
        <v>0.54166666666666663</v>
      </c>
      <c r="I28" s="127">
        <v>0.75</v>
      </c>
      <c r="J28" s="227">
        <f t="shared" si="3"/>
        <v>5.0000000000000009</v>
      </c>
      <c r="K28" s="115">
        <v>8.5</v>
      </c>
      <c r="L28" s="147">
        <f t="shared" si="0"/>
        <v>8.75</v>
      </c>
      <c r="M28" s="205"/>
      <c r="N28" s="250">
        <f t="shared" si="1"/>
        <v>0.25000000000000533</v>
      </c>
      <c r="O28" s="268" t="s">
        <v>72</v>
      </c>
      <c r="P28" s="269">
        <v>4.5</v>
      </c>
      <c r="Q28" s="269" t="s">
        <v>139</v>
      </c>
      <c r="R28" s="269">
        <v>4.25</v>
      </c>
      <c r="S28" s="269"/>
      <c r="T28" s="269"/>
      <c r="U28" s="329" t="s">
        <v>339</v>
      </c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44672</v>
      </c>
      <c r="E29" s="208">
        <v>0.41666666666666669</v>
      </c>
      <c r="F29" s="208">
        <v>0.51041666666666663</v>
      </c>
      <c r="G29" s="132">
        <f t="shared" si="2"/>
        <v>2.2499999999999987</v>
      </c>
      <c r="H29" s="208">
        <v>0.54166666666666663</v>
      </c>
      <c r="I29" s="208">
        <v>0.75</v>
      </c>
      <c r="J29" s="132">
        <f t="shared" si="3"/>
        <v>5.0000000000000009</v>
      </c>
      <c r="K29" s="209">
        <v>8.5</v>
      </c>
      <c r="L29" s="210">
        <f t="shared" si="0"/>
        <v>7.2500000000000009</v>
      </c>
      <c r="M29" s="211"/>
      <c r="N29" s="249">
        <f t="shared" si="1"/>
        <v>-0.99999999999999378</v>
      </c>
      <c r="O29" s="267" t="s">
        <v>72</v>
      </c>
      <c r="P29" s="266">
        <v>4.5</v>
      </c>
      <c r="Q29" s="266" t="s">
        <v>139</v>
      </c>
      <c r="R29" s="266">
        <v>2.75</v>
      </c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44673</v>
      </c>
      <c r="E30" s="127">
        <v>0.33333333333333331</v>
      </c>
      <c r="F30" s="127">
        <v>0.51041666666666663</v>
      </c>
      <c r="G30" s="227">
        <f t="shared" si="2"/>
        <v>4.25</v>
      </c>
      <c r="H30" s="127">
        <v>0.54166666666666663</v>
      </c>
      <c r="I30" s="127">
        <v>0.75</v>
      </c>
      <c r="J30" s="227">
        <f t="shared" si="3"/>
        <v>5.0000000000000009</v>
      </c>
      <c r="K30" s="115">
        <v>8</v>
      </c>
      <c r="L30" s="147">
        <f t="shared" si="0"/>
        <v>9.25</v>
      </c>
      <c r="M30" s="205"/>
      <c r="N30" s="250">
        <f t="shared" si="1"/>
        <v>0.25000000000000622</v>
      </c>
      <c r="O30" s="268" t="s">
        <v>72</v>
      </c>
      <c r="P30" s="269">
        <v>4.5</v>
      </c>
      <c r="Q30" s="269" t="s">
        <v>139</v>
      </c>
      <c r="R30" s="269">
        <v>4.75</v>
      </c>
      <c r="S30" s="269"/>
      <c r="T30" s="269"/>
      <c r="U30" s="329" t="s">
        <v>339</v>
      </c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44674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>
        <f t="shared" si="0"/>
        <v>0</v>
      </c>
      <c r="M31" s="205"/>
      <c r="N31" s="250">
        <f t="shared" si="1"/>
        <v>0.25000000000000622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44675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>
        <f t="shared" si="0"/>
        <v>0</v>
      </c>
      <c r="M32" s="205"/>
      <c r="N32" s="250">
        <f t="shared" si="1"/>
        <v>0.25000000000000622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17</v>
      </c>
      <c r="C33" s="206" t="s">
        <v>99</v>
      </c>
      <c r="D33" s="126">
        <v>44676</v>
      </c>
      <c r="E33" s="208"/>
      <c r="F33" s="208"/>
      <c r="G33" s="132">
        <f t="shared" si="2"/>
        <v>0</v>
      </c>
      <c r="H33" s="208"/>
      <c r="I33" s="208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0.25000000000000622</v>
      </c>
      <c r="O33" s="267" t="s">
        <v>216</v>
      </c>
      <c r="P33" s="266">
        <v>8.5</v>
      </c>
      <c r="Q33" s="266"/>
      <c r="R33" s="266"/>
      <c r="S33" s="266"/>
      <c r="T33" s="266"/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44677</v>
      </c>
      <c r="E34" s="127">
        <v>0.34375</v>
      </c>
      <c r="F34" s="282">
        <v>0.51041666666666663</v>
      </c>
      <c r="G34" s="227">
        <f t="shared" si="2"/>
        <v>3.9999999999999991</v>
      </c>
      <c r="H34" s="282">
        <v>0.54166666666666663</v>
      </c>
      <c r="I34" s="127">
        <v>0.76041666666666663</v>
      </c>
      <c r="J34" s="227">
        <f t="shared" si="3"/>
        <v>5.25</v>
      </c>
      <c r="K34" s="115">
        <v>8.5</v>
      </c>
      <c r="L34" s="147">
        <f t="shared" si="0"/>
        <v>9.25</v>
      </c>
      <c r="M34" s="205"/>
      <c r="N34" s="250">
        <f t="shared" si="1"/>
        <v>1.0000000000000062</v>
      </c>
      <c r="O34" s="268" t="s">
        <v>72</v>
      </c>
      <c r="P34" s="269">
        <v>4.5</v>
      </c>
      <c r="Q34" s="269" t="s">
        <v>139</v>
      </c>
      <c r="R34" s="269">
        <v>4.75</v>
      </c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44678</v>
      </c>
      <c r="E35" s="220">
        <v>0.34375</v>
      </c>
      <c r="F35" s="220">
        <v>0.51041666666666663</v>
      </c>
      <c r="G35" s="132">
        <f t="shared" si="2"/>
        <v>3.9999999999999991</v>
      </c>
      <c r="H35" s="220">
        <v>0.54166666666666663</v>
      </c>
      <c r="I35" s="337">
        <v>0.72916666666666663</v>
      </c>
      <c r="J35" s="132">
        <f t="shared" si="3"/>
        <v>4.5</v>
      </c>
      <c r="K35" s="221">
        <v>8.5</v>
      </c>
      <c r="L35" s="210">
        <f t="shared" si="0"/>
        <v>8.5</v>
      </c>
      <c r="M35" s="211"/>
      <c r="N35" s="249">
        <f>IF(L35&gt;0,(L35-K35)+N34,+N34)</f>
        <v>1.0000000000000062</v>
      </c>
      <c r="O35" s="267" t="s">
        <v>72</v>
      </c>
      <c r="P35" s="266">
        <v>4.5</v>
      </c>
      <c r="Q35" s="266" t="s">
        <v>139</v>
      </c>
      <c r="R35" s="266">
        <v>4</v>
      </c>
      <c r="S35" s="266"/>
      <c r="T35" s="266"/>
      <c r="U35" s="326" t="s">
        <v>339</v>
      </c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44679</v>
      </c>
      <c r="E36" s="127">
        <v>0.35416666666666669</v>
      </c>
      <c r="F36" s="282">
        <v>0.51041666666666663</v>
      </c>
      <c r="G36" s="227">
        <f t="shared" si="2"/>
        <v>3.7499999999999987</v>
      </c>
      <c r="H36" s="282">
        <v>0.54166666666666663</v>
      </c>
      <c r="I36" s="127">
        <v>0.71875</v>
      </c>
      <c r="J36" s="227">
        <f t="shared" si="3"/>
        <v>4.2500000000000009</v>
      </c>
      <c r="K36" s="115">
        <v>8.5</v>
      </c>
      <c r="L36" s="147">
        <f t="shared" si="0"/>
        <v>8</v>
      </c>
      <c r="M36" s="205"/>
      <c r="N36" s="250">
        <f>IF(L36&gt;0,(L36-K36)+N35,+N35)</f>
        <v>0.50000000000000622</v>
      </c>
      <c r="O36" s="268" t="s">
        <v>72</v>
      </c>
      <c r="P36" s="269">
        <v>4.5</v>
      </c>
      <c r="Q36" s="269" t="s">
        <v>139</v>
      </c>
      <c r="R36" s="269">
        <v>3.5</v>
      </c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44680</v>
      </c>
      <c r="E37" s="220">
        <v>0.34375</v>
      </c>
      <c r="F37" s="220">
        <v>0.5</v>
      </c>
      <c r="G37" s="132">
        <f t="shared" si="2"/>
        <v>3.75</v>
      </c>
      <c r="H37" s="220">
        <v>0.54166666666666663</v>
      </c>
      <c r="I37" s="220">
        <v>0.71875</v>
      </c>
      <c r="J37" s="132">
        <f t="shared" si="3"/>
        <v>4.2500000000000009</v>
      </c>
      <c r="K37" s="221">
        <v>8</v>
      </c>
      <c r="L37" s="210">
        <f t="shared" si="0"/>
        <v>8</v>
      </c>
      <c r="M37" s="222"/>
      <c r="N37" s="249">
        <f>IF(L37&gt;0,(L37-K37)+N36,+N36)</f>
        <v>0.50000000000000622</v>
      </c>
      <c r="O37" s="276" t="s">
        <v>72</v>
      </c>
      <c r="P37" s="277">
        <v>4</v>
      </c>
      <c r="Q37" s="277" t="s">
        <v>139</v>
      </c>
      <c r="R37" s="277">
        <v>4</v>
      </c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SUM(L6:L36)</f>
        <v>152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/>
      <c r="D43" s="494"/>
      <c r="E43" s="505">
        <f>SUMIF(O5:O37,"Clair*",P5:P37)+SUMIF(Q5:Q37,"Clair*",R5:R37)+SUMIF(S5:S37,"Clair*",T5:T37)</f>
        <v>0</v>
      </c>
      <c r="F43" s="506"/>
      <c r="AR43" s="117">
        <v>214610</v>
      </c>
      <c r="AS43" s="117">
        <v>244159</v>
      </c>
    </row>
    <row r="44" spans="1:45" x14ac:dyDescent="0.25">
      <c r="C44" s="493"/>
      <c r="D44" s="494"/>
      <c r="E44" s="505">
        <f>SUMIF(O5:O37,"Clair*",P5:P37)+SUMIF(Q5:Q37,"Clair*",R5:R37)+SUMIF(S5:S37,"Clair*",T5:T37)</f>
        <v>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/>
      <c r="D45" s="494"/>
      <c r="E45" s="505">
        <f>SUMIF(O5:O37,"Clair*",P5:P37)+SUMIF(Q5:Q37,"Clair*",R5:R37)+SUMIF(S5:S37,"Clair*",T5:T37)</f>
        <v>0</v>
      </c>
      <c r="F45" s="506"/>
    </row>
    <row r="46" spans="1:45" x14ac:dyDescent="0.25">
      <c r="C46" s="493"/>
      <c r="D46" s="494"/>
      <c r="E46" s="505">
        <f>SUMIF(O5:O37,"Clair*",P5:P37)+SUMIF(Q5:Q37,"Clair*",R5:R37)+SUMIF(S5:S37,"Clair*",T5:T37)</f>
        <v>0</v>
      </c>
      <c r="F46" s="506"/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</row>
    <row r="49" spans="3:6" x14ac:dyDescent="0.25">
      <c r="C49" s="493"/>
      <c r="D49" s="494"/>
      <c r="E49" s="505">
        <f>SUMIF(O5:O37,"Clair*",P5:P37)+SUMIF(Q5:Q37,"Clair*",R5:R37)+SUMIF(S5:S37,"Clair*",T5:T37)</f>
        <v>0</v>
      </c>
      <c r="F49" s="506"/>
    </row>
    <row r="50" spans="3:6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6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  <c r="D55" s="284"/>
      <c r="E55" s="284"/>
      <c r="F55" s="284"/>
    </row>
    <row r="56" spans="3:6" x14ac:dyDescent="0.25">
      <c r="C56" s="138"/>
      <c r="F56" s="285"/>
    </row>
    <row r="57" spans="3:6" x14ac:dyDescent="0.25">
      <c r="F57" s="285"/>
    </row>
    <row r="58" spans="3:6" x14ac:dyDescent="0.25">
      <c r="F58" s="285"/>
    </row>
    <row r="59" spans="3:6" x14ac:dyDescent="0.25">
      <c r="F59" s="285"/>
    </row>
    <row r="60" spans="3:6" x14ac:dyDescent="0.25">
      <c r="F60" s="285"/>
    </row>
    <row r="61" spans="3:6" x14ac:dyDescent="0.25">
      <c r="F61" s="285"/>
    </row>
    <row r="62" spans="3:6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32" priority="2">
      <formula>D5=TODAY()</formula>
    </cfRule>
    <cfRule type="expression" dxfId="31" priority="3">
      <formula>D5&lt;TODAY()</formula>
    </cfRule>
  </conditionalFormatting>
  <conditionalFormatting sqref="G1">
    <cfRule type="expression" dxfId="30" priority="1">
      <formula>$F$1=$E$1</formula>
    </cfRule>
  </conditionalFormatting>
  <dataValidations count="1">
    <dataValidation type="list" allowBlank="1" showInputMessage="1" showErrorMessage="1" sqref="E38 G38" xr:uid="{00000000-0002-0000-13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2">
    <tabColor theme="5" tint="0.59999389629810485"/>
    <pageSetUpPr fitToPage="1"/>
  </sheetPr>
  <dimension ref="A1:AS1048576"/>
  <sheetViews>
    <sheetView showGridLines="0" showZeros="0" showRuler="0" topLeftCell="A15" zoomScale="160" zoomScaleNormal="160" zoomScaleSheetLayoutView="100" zoomScalePageLayoutView="70" workbookViewId="0">
      <selection activeCell="O26" sqref="O26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160</v>
      </c>
    </row>
    <row r="5" spans="1:43" ht="16.350000000000001" customHeight="1" thickTop="1" thickBot="1" x14ac:dyDescent="0.35">
      <c r="B5" s="487">
        <f>_xlfn.ISOWEEKNUM(D5)</f>
        <v>18</v>
      </c>
      <c r="C5" s="229" t="s">
        <v>99</v>
      </c>
      <c r="D5" s="126">
        <v>44683</v>
      </c>
      <c r="E5" s="231"/>
      <c r="F5" s="231"/>
      <c r="G5" s="232">
        <f>(F5-E5)*24</f>
        <v>0</v>
      </c>
      <c r="H5" s="231"/>
      <c r="I5" s="231">
        <v>0.35416666666666669</v>
      </c>
      <c r="J5" s="232">
        <f>(I5-H5)*24</f>
        <v>8.5</v>
      </c>
      <c r="K5" s="233">
        <v>8.5</v>
      </c>
      <c r="L5" s="234">
        <f t="shared" ref="L5:L37" si="0">(F5-E5+I5-H5)*24</f>
        <v>8.5</v>
      </c>
      <c r="M5" s="211"/>
      <c r="N5" s="249">
        <f t="shared" ref="N5:N34" si="1">IF(L5&gt;0,(L5-K5)+N4,+N4)</f>
        <v>0</v>
      </c>
      <c r="O5" s="267" t="s">
        <v>216</v>
      </c>
      <c r="P5" s="266">
        <v>8.5</v>
      </c>
      <c r="Q5" s="266"/>
      <c r="R5" s="266"/>
      <c r="S5" s="266"/>
      <c r="T5" s="266"/>
      <c r="U5" s="330" t="s">
        <v>335</v>
      </c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44684</v>
      </c>
      <c r="E6" s="127">
        <v>0.35416666666666669</v>
      </c>
      <c r="F6" s="282">
        <v>0.51041666666666663</v>
      </c>
      <c r="G6" s="227">
        <f t="shared" ref="G6:G37" si="2">(F6-E6)*24</f>
        <v>3.7499999999999987</v>
      </c>
      <c r="H6" s="282">
        <v>0.54166666666666663</v>
      </c>
      <c r="I6" s="127">
        <v>0.73958333333333337</v>
      </c>
      <c r="J6" s="227">
        <f t="shared" ref="J6:J37" si="3">(I6-H6)*24</f>
        <v>4.7500000000000018</v>
      </c>
      <c r="K6" s="115">
        <v>8.5</v>
      </c>
      <c r="L6" s="147">
        <f t="shared" si="0"/>
        <v>8.5</v>
      </c>
      <c r="M6" s="205"/>
      <c r="N6" s="250">
        <f t="shared" si="1"/>
        <v>0</v>
      </c>
      <c r="O6" s="268" t="s">
        <v>72</v>
      </c>
      <c r="P6" s="269">
        <v>4.5</v>
      </c>
      <c r="Q6" s="269" t="s">
        <v>139</v>
      </c>
      <c r="R6" s="269">
        <v>4</v>
      </c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44685</v>
      </c>
      <c r="E7" s="208"/>
      <c r="F7" s="208"/>
      <c r="G7" s="132">
        <f t="shared" si="2"/>
        <v>0</v>
      </c>
      <c r="H7" s="208"/>
      <c r="I7" s="208">
        <v>0.35416666666666669</v>
      </c>
      <c r="J7" s="132">
        <f t="shared" si="3"/>
        <v>8.5</v>
      </c>
      <c r="K7" s="209">
        <v>8.5</v>
      </c>
      <c r="L7" s="210">
        <f t="shared" si="0"/>
        <v>8.5</v>
      </c>
      <c r="M7" s="211"/>
      <c r="N7" s="249">
        <f t="shared" si="1"/>
        <v>0</v>
      </c>
      <c r="O7" s="267" t="s">
        <v>375</v>
      </c>
      <c r="P7" s="266">
        <v>8.5</v>
      </c>
      <c r="Q7" s="266"/>
      <c r="R7" s="266"/>
      <c r="S7" s="266"/>
      <c r="T7" s="266"/>
      <c r="U7" s="326" t="s">
        <v>339</v>
      </c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44686</v>
      </c>
      <c r="E8" s="127">
        <v>0.35416666666666669</v>
      </c>
      <c r="F8" s="282">
        <v>0.51041666666666663</v>
      </c>
      <c r="G8" s="227">
        <f t="shared" si="2"/>
        <v>3.7499999999999987</v>
      </c>
      <c r="H8" s="282">
        <v>0.54166666666666663</v>
      </c>
      <c r="I8" s="127">
        <v>0.73958333333333337</v>
      </c>
      <c r="J8" s="227">
        <f t="shared" si="3"/>
        <v>4.7500000000000018</v>
      </c>
      <c r="K8" s="115">
        <v>8.5</v>
      </c>
      <c r="L8" s="147">
        <f t="shared" si="0"/>
        <v>8.5</v>
      </c>
      <c r="M8" s="205"/>
      <c r="N8" s="250">
        <f t="shared" si="1"/>
        <v>0</v>
      </c>
      <c r="O8" s="268" t="s">
        <v>72</v>
      </c>
      <c r="P8" s="269">
        <v>4.5</v>
      </c>
      <c r="Q8" s="269" t="s">
        <v>139</v>
      </c>
      <c r="R8" s="269">
        <v>4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44687</v>
      </c>
      <c r="E9" s="208">
        <v>0.33333333333333331</v>
      </c>
      <c r="F9" s="208">
        <v>0.51041666666666663</v>
      </c>
      <c r="G9" s="132">
        <f t="shared" si="2"/>
        <v>4.25</v>
      </c>
      <c r="H9" s="208">
        <v>0.54166666666666663</v>
      </c>
      <c r="I9" s="208">
        <v>0.69791666666666663</v>
      </c>
      <c r="J9" s="132">
        <f t="shared" si="3"/>
        <v>3.75</v>
      </c>
      <c r="K9" s="209">
        <v>8</v>
      </c>
      <c r="L9" s="210">
        <f t="shared" si="0"/>
        <v>8</v>
      </c>
      <c r="M9" s="211"/>
      <c r="N9" s="249">
        <f t="shared" si="1"/>
        <v>0</v>
      </c>
      <c r="O9" s="276" t="s">
        <v>72</v>
      </c>
      <c r="P9" s="277">
        <v>4</v>
      </c>
      <c r="Q9" s="277" t="s">
        <v>139</v>
      </c>
      <c r="R9" s="277">
        <v>4</v>
      </c>
      <c r="S9" s="266"/>
      <c r="T9" s="266"/>
      <c r="U9" s="326" t="s">
        <v>339</v>
      </c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44688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>
        <f t="shared" si="0"/>
        <v>0</v>
      </c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44689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>
        <f t="shared" si="0"/>
        <v>0</v>
      </c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19</v>
      </c>
      <c r="C12" s="125" t="s">
        <v>99</v>
      </c>
      <c r="D12" s="126">
        <v>44690</v>
      </c>
      <c r="E12" s="127"/>
      <c r="F12" s="127"/>
      <c r="G12" s="227">
        <f t="shared" si="2"/>
        <v>0</v>
      </c>
      <c r="H12" s="127"/>
      <c r="I12" s="127">
        <v>0.35416666666666669</v>
      </c>
      <c r="J12" s="227">
        <f t="shared" si="3"/>
        <v>8.5</v>
      </c>
      <c r="K12" s="115">
        <v>8.5</v>
      </c>
      <c r="L12" s="147">
        <f t="shared" si="0"/>
        <v>8.5</v>
      </c>
      <c r="M12" s="205"/>
      <c r="N12" s="250">
        <f t="shared" si="1"/>
        <v>0</v>
      </c>
      <c r="O12" s="268" t="s">
        <v>216</v>
      </c>
      <c r="P12" s="269">
        <v>8.5</v>
      </c>
      <c r="Q12" s="269"/>
      <c r="R12" s="269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44691</v>
      </c>
      <c r="E13" s="208">
        <v>0.33333333333333331</v>
      </c>
      <c r="F13" s="208">
        <v>0.51041666666666663</v>
      </c>
      <c r="G13" s="132">
        <f t="shared" si="2"/>
        <v>4.25</v>
      </c>
      <c r="H13" s="208">
        <v>0.54166666666666663</v>
      </c>
      <c r="I13" s="208">
        <v>0.72916666666666663</v>
      </c>
      <c r="J13" s="132">
        <f t="shared" si="3"/>
        <v>4.5</v>
      </c>
      <c r="K13" s="209">
        <v>8.5</v>
      </c>
      <c r="L13" s="210">
        <f t="shared" si="0"/>
        <v>8.75</v>
      </c>
      <c r="M13" s="211"/>
      <c r="N13" s="249">
        <f t="shared" si="1"/>
        <v>0.25</v>
      </c>
      <c r="O13" s="267" t="s">
        <v>72</v>
      </c>
      <c r="P13" s="266">
        <v>4.5</v>
      </c>
      <c r="Q13" s="266" t="s">
        <v>139</v>
      </c>
      <c r="R13" s="266">
        <v>4.25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44692</v>
      </c>
      <c r="E14" s="127">
        <v>0.34375</v>
      </c>
      <c r="F14" s="127">
        <v>0.51041666666666663</v>
      </c>
      <c r="G14" s="227">
        <f t="shared" si="2"/>
        <v>3.9999999999999991</v>
      </c>
      <c r="H14" s="127">
        <v>0.54166666666666663</v>
      </c>
      <c r="I14" s="127">
        <v>0.71875</v>
      </c>
      <c r="J14" s="227">
        <f t="shared" si="3"/>
        <v>4.2500000000000009</v>
      </c>
      <c r="K14" s="115">
        <v>8.5</v>
      </c>
      <c r="L14" s="147">
        <f t="shared" si="0"/>
        <v>8.25</v>
      </c>
      <c r="M14" s="205"/>
      <c r="N14" s="250">
        <f t="shared" si="1"/>
        <v>0</v>
      </c>
      <c r="O14" s="268" t="s">
        <v>72</v>
      </c>
      <c r="P14" s="269">
        <v>4.5</v>
      </c>
      <c r="Q14" s="269" t="s">
        <v>383</v>
      </c>
      <c r="R14" s="269">
        <v>3.75</v>
      </c>
      <c r="S14" s="270"/>
      <c r="T14" s="269"/>
      <c r="U14" s="329" t="s">
        <v>339</v>
      </c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126">
        <v>44693</v>
      </c>
      <c r="E15" s="208">
        <v>0.34375</v>
      </c>
      <c r="F15" s="208">
        <v>0.51041666666666663</v>
      </c>
      <c r="G15" s="132">
        <f t="shared" si="2"/>
        <v>3.9999999999999991</v>
      </c>
      <c r="H15" s="208">
        <v>0.54166666666666663</v>
      </c>
      <c r="I15" s="208">
        <v>0.75</v>
      </c>
      <c r="J15" s="132">
        <f t="shared" si="3"/>
        <v>5.0000000000000009</v>
      </c>
      <c r="K15" s="209">
        <v>8.5</v>
      </c>
      <c r="L15" s="210">
        <f t="shared" si="0"/>
        <v>9</v>
      </c>
      <c r="M15" s="211"/>
      <c r="N15" s="249">
        <f t="shared" si="1"/>
        <v>0.5</v>
      </c>
      <c r="O15" s="266" t="s">
        <v>72</v>
      </c>
      <c r="P15" s="266">
        <v>4.5</v>
      </c>
      <c r="Q15" s="266" t="s">
        <v>383</v>
      </c>
      <c r="R15" s="266">
        <v>4.5</v>
      </c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 t="s">
        <v>83</v>
      </c>
      <c r="B16" s="487"/>
      <c r="C16" s="125" t="s">
        <v>96</v>
      </c>
      <c r="D16" s="126">
        <v>44694</v>
      </c>
      <c r="E16" s="127">
        <v>0.33333333333333331</v>
      </c>
      <c r="F16" s="127">
        <v>0.51041666666666663</v>
      </c>
      <c r="G16" s="227">
        <f t="shared" si="2"/>
        <v>4.25</v>
      </c>
      <c r="H16" s="127">
        <v>0.57291666666666663</v>
      </c>
      <c r="I16" s="127">
        <v>0.73958333333333337</v>
      </c>
      <c r="J16" s="227">
        <f t="shared" si="3"/>
        <v>4.0000000000000018</v>
      </c>
      <c r="K16" s="115">
        <v>8</v>
      </c>
      <c r="L16" s="147">
        <f t="shared" si="0"/>
        <v>8.2500000000000036</v>
      </c>
      <c r="M16" s="205"/>
      <c r="N16" s="250">
        <f t="shared" si="1"/>
        <v>0.75000000000000355</v>
      </c>
      <c r="O16" s="269" t="s">
        <v>72</v>
      </c>
      <c r="P16" s="269">
        <v>4</v>
      </c>
      <c r="Q16" s="269" t="s">
        <v>139</v>
      </c>
      <c r="R16" s="269">
        <v>4.25</v>
      </c>
      <c r="S16" s="270"/>
      <c r="T16" s="269"/>
      <c r="U16" s="329" t="s">
        <v>339</v>
      </c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44695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>
        <f t="shared" si="0"/>
        <v>0</v>
      </c>
      <c r="M17" s="205"/>
      <c r="N17" s="250">
        <f t="shared" si="1"/>
        <v>0.75000000000000355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44696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>
        <f t="shared" si="0"/>
        <v>0</v>
      </c>
      <c r="M18" s="205"/>
      <c r="N18" s="250">
        <f t="shared" si="1"/>
        <v>0.75000000000000355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20</v>
      </c>
      <c r="C19" s="206" t="s">
        <v>99</v>
      </c>
      <c r="D19" s="126">
        <v>44697</v>
      </c>
      <c r="E19" s="208"/>
      <c r="F19" s="208"/>
      <c r="G19" s="132">
        <f t="shared" si="2"/>
        <v>0</v>
      </c>
      <c r="H19" s="208"/>
      <c r="I19" s="208">
        <v>0.35416666666666669</v>
      </c>
      <c r="J19" s="132">
        <f t="shared" si="3"/>
        <v>8.5</v>
      </c>
      <c r="K19" s="209">
        <v>8.5</v>
      </c>
      <c r="L19" s="210">
        <f t="shared" si="0"/>
        <v>8.5</v>
      </c>
      <c r="M19" s="211"/>
      <c r="N19" s="249">
        <f t="shared" si="1"/>
        <v>0.75000000000000355</v>
      </c>
      <c r="O19" s="267" t="s">
        <v>216</v>
      </c>
      <c r="P19" s="266">
        <v>8.5</v>
      </c>
      <c r="Q19" s="266"/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44698</v>
      </c>
      <c r="E20" s="127">
        <v>0.35416666666666669</v>
      </c>
      <c r="F20" s="127">
        <v>0.51041666666666663</v>
      </c>
      <c r="G20" s="227">
        <f t="shared" si="2"/>
        <v>3.7499999999999987</v>
      </c>
      <c r="H20" s="127">
        <v>0.54166666666666663</v>
      </c>
      <c r="I20" s="127">
        <v>0.73958333333333337</v>
      </c>
      <c r="J20" s="227">
        <f t="shared" si="3"/>
        <v>4.7500000000000018</v>
      </c>
      <c r="K20" s="115">
        <v>8.5</v>
      </c>
      <c r="L20" s="147">
        <f t="shared" si="0"/>
        <v>8.5</v>
      </c>
      <c r="M20" s="205"/>
      <c r="N20" s="250">
        <f t="shared" si="1"/>
        <v>0.75000000000000355</v>
      </c>
      <c r="O20" s="269" t="s">
        <v>72</v>
      </c>
      <c r="P20" s="269">
        <v>4.5</v>
      </c>
      <c r="Q20" s="269" t="s">
        <v>139</v>
      </c>
      <c r="R20" s="269">
        <v>4</v>
      </c>
      <c r="T20" s="176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44699</v>
      </c>
      <c r="E21" s="208">
        <v>0.35416666666666669</v>
      </c>
      <c r="F21" s="208">
        <v>0.51041666666666663</v>
      </c>
      <c r="G21" s="132">
        <f t="shared" si="2"/>
        <v>3.7499999999999987</v>
      </c>
      <c r="H21" s="208">
        <v>0.54166666666666663</v>
      </c>
      <c r="I21" s="208">
        <v>0.73958333333333337</v>
      </c>
      <c r="J21" s="132">
        <f t="shared" si="3"/>
        <v>4.7500000000000018</v>
      </c>
      <c r="K21" s="209">
        <v>8.5</v>
      </c>
      <c r="L21" s="210">
        <f t="shared" si="0"/>
        <v>8.5</v>
      </c>
      <c r="M21" s="211"/>
      <c r="N21" s="249">
        <f t="shared" si="1"/>
        <v>0.75000000000000355</v>
      </c>
      <c r="O21" s="267" t="s">
        <v>72</v>
      </c>
      <c r="P21" s="266">
        <v>4.5</v>
      </c>
      <c r="Q21" s="266" t="s">
        <v>386</v>
      </c>
      <c r="R21" s="266">
        <v>4</v>
      </c>
      <c r="S21" s="266"/>
      <c r="T21" s="266"/>
      <c r="U21" s="326" t="s">
        <v>339</v>
      </c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44700</v>
      </c>
      <c r="E22" s="127">
        <v>0.33333333333333331</v>
      </c>
      <c r="F22" s="127">
        <v>0.51041666666666663</v>
      </c>
      <c r="G22" s="227">
        <f t="shared" si="2"/>
        <v>4.25</v>
      </c>
      <c r="H22" s="127">
        <v>0.54166666666666663</v>
      </c>
      <c r="I22" s="127">
        <v>0.75</v>
      </c>
      <c r="J22" s="227">
        <f t="shared" si="3"/>
        <v>5.0000000000000009</v>
      </c>
      <c r="K22" s="115">
        <v>8.5</v>
      </c>
      <c r="L22" s="147">
        <f t="shared" si="0"/>
        <v>9.25</v>
      </c>
      <c r="M22" s="205"/>
      <c r="N22" s="250">
        <f t="shared" si="1"/>
        <v>1.5000000000000036</v>
      </c>
      <c r="O22" s="268" t="s">
        <v>72</v>
      </c>
      <c r="P22" s="269">
        <v>4.5</v>
      </c>
      <c r="Q22" s="269" t="s">
        <v>384</v>
      </c>
      <c r="R22" s="269">
        <v>4.75</v>
      </c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44701</v>
      </c>
      <c r="E23" s="208">
        <v>0.34375</v>
      </c>
      <c r="F23" s="208">
        <v>0.5</v>
      </c>
      <c r="G23" s="132">
        <f t="shared" si="2"/>
        <v>3.75</v>
      </c>
      <c r="H23" s="208">
        <v>0.54166666666666663</v>
      </c>
      <c r="I23" s="208">
        <v>0.67708333333333337</v>
      </c>
      <c r="J23" s="132">
        <f t="shared" si="3"/>
        <v>3.2500000000000018</v>
      </c>
      <c r="K23" s="209">
        <v>8</v>
      </c>
      <c r="L23" s="147">
        <f t="shared" si="0"/>
        <v>7.0000000000000018</v>
      </c>
      <c r="M23" s="211"/>
      <c r="N23" s="249">
        <f t="shared" si="1"/>
        <v>0.50000000000000533</v>
      </c>
      <c r="O23" s="267" t="s">
        <v>72</v>
      </c>
      <c r="P23" s="266">
        <v>4</v>
      </c>
      <c r="Q23" s="266" t="s">
        <v>139</v>
      </c>
      <c r="R23" s="266">
        <v>3</v>
      </c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44702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>
        <f t="shared" si="0"/>
        <v>0</v>
      </c>
      <c r="M24" s="205"/>
      <c r="N24" s="250">
        <f t="shared" si="1"/>
        <v>0.50000000000000533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44703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>
        <f t="shared" si="0"/>
        <v>0</v>
      </c>
      <c r="M25" s="205"/>
      <c r="N25" s="250">
        <f t="shared" si="1"/>
        <v>0.50000000000000533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21</v>
      </c>
      <c r="C26" s="125" t="s">
        <v>99</v>
      </c>
      <c r="D26" s="126">
        <v>44704</v>
      </c>
      <c r="E26" s="127"/>
      <c r="F26" s="127"/>
      <c r="G26" s="227">
        <f t="shared" si="2"/>
        <v>0</v>
      </c>
      <c r="H26" s="127"/>
      <c r="I26" s="127"/>
      <c r="J26" s="227">
        <f t="shared" si="3"/>
        <v>0</v>
      </c>
      <c r="K26" s="115">
        <v>8.5</v>
      </c>
      <c r="L26" s="147">
        <f t="shared" si="0"/>
        <v>0</v>
      </c>
      <c r="M26" s="205"/>
      <c r="N26" s="250">
        <f t="shared" si="1"/>
        <v>0.50000000000000533</v>
      </c>
      <c r="O26" s="268" t="s">
        <v>216</v>
      </c>
      <c r="P26" s="269">
        <v>8.5</v>
      </c>
      <c r="Q26" s="269"/>
      <c r="R26" s="269"/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44705</v>
      </c>
      <c r="E27" s="208">
        <v>0.35416666666666669</v>
      </c>
      <c r="F27" s="208">
        <v>0.51041666666666663</v>
      </c>
      <c r="G27" s="132">
        <f>(F27-E27)*24</f>
        <v>3.7499999999999987</v>
      </c>
      <c r="H27" s="208">
        <v>0.54166666666666663</v>
      </c>
      <c r="I27" s="208">
        <v>0.69791666666666663</v>
      </c>
      <c r="J27" s="132">
        <f t="shared" si="3"/>
        <v>3.75</v>
      </c>
      <c r="K27" s="209">
        <v>8.5</v>
      </c>
      <c r="L27" s="210">
        <f t="shared" si="0"/>
        <v>7.4999999999999973</v>
      </c>
      <c r="M27" s="211"/>
      <c r="N27" s="249">
        <f t="shared" si="1"/>
        <v>-0.49999999999999734</v>
      </c>
      <c r="O27" s="267" t="s">
        <v>72</v>
      </c>
      <c r="P27" s="266">
        <v>4.5</v>
      </c>
      <c r="Q27" s="266" t="s">
        <v>386</v>
      </c>
      <c r="R27" s="266">
        <v>3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44706</v>
      </c>
      <c r="E28" s="127">
        <v>0.33333333333333331</v>
      </c>
      <c r="F28" s="127">
        <v>0.51041666666666663</v>
      </c>
      <c r="G28" s="227">
        <f t="shared" si="2"/>
        <v>4.25</v>
      </c>
      <c r="H28" s="127">
        <v>0.54166666666666663</v>
      </c>
      <c r="I28" s="127">
        <v>0.73958333333333337</v>
      </c>
      <c r="J28" s="227">
        <f t="shared" si="3"/>
        <v>4.7500000000000018</v>
      </c>
      <c r="K28" s="115">
        <v>8.5</v>
      </c>
      <c r="L28" s="147">
        <f t="shared" si="0"/>
        <v>9.0000000000000036</v>
      </c>
      <c r="M28" s="205"/>
      <c r="N28" s="250">
        <f t="shared" si="1"/>
        <v>6.2172489379008766E-15</v>
      </c>
      <c r="O28" s="268" t="s">
        <v>72</v>
      </c>
      <c r="P28" s="269">
        <v>4.5</v>
      </c>
      <c r="Q28" s="269" t="s">
        <v>386</v>
      </c>
      <c r="R28" s="269">
        <v>4.5</v>
      </c>
      <c r="S28" s="269"/>
      <c r="T28" s="269"/>
      <c r="U28" s="329" t="s">
        <v>339</v>
      </c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44707</v>
      </c>
      <c r="E29" s="208"/>
      <c r="F29" s="208"/>
      <c r="G29" s="132">
        <f t="shared" si="2"/>
        <v>0</v>
      </c>
      <c r="H29" s="208"/>
      <c r="I29" s="208"/>
      <c r="J29" s="132">
        <f t="shared" si="3"/>
        <v>0</v>
      </c>
      <c r="K29" s="209">
        <v>8.5</v>
      </c>
      <c r="L29" s="210">
        <f t="shared" si="0"/>
        <v>0</v>
      </c>
      <c r="M29" s="211"/>
      <c r="N29" s="249">
        <f t="shared" si="1"/>
        <v>6.2172489379008766E-15</v>
      </c>
      <c r="O29" s="267"/>
      <c r="P29" s="266"/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44708</v>
      </c>
      <c r="E30" s="127"/>
      <c r="F30" s="127"/>
      <c r="G30" s="227">
        <f t="shared" si="2"/>
        <v>0</v>
      </c>
      <c r="H30" s="127"/>
      <c r="I30" s="127"/>
      <c r="J30" s="227">
        <f t="shared" si="3"/>
        <v>0</v>
      </c>
      <c r="K30" s="115">
        <v>8</v>
      </c>
      <c r="L30" s="147">
        <f t="shared" si="0"/>
        <v>0</v>
      </c>
      <c r="M30" s="205"/>
      <c r="N30" s="250">
        <f t="shared" si="1"/>
        <v>6.2172489379008766E-15</v>
      </c>
      <c r="O30" s="268"/>
      <c r="P30" s="269"/>
      <c r="Q30" s="269"/>
      <c r="R30" s="269"/>
      <c r="S30" s="269"/>
      <c r="T30" s="269"/>
      <c r="U30" s="329" t="s">
        <v>339</v>
      </c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44709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>
        <f t="shared" si="0"/>
        <v>0</v>
      </c>
      <c r="M31" s="205"/>
      <c r="N31" s="250">
        <f t="shared" si="1"/>
        <v>6.2172489379008766E-15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44710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>
        <f t="shared" si="0"/>
        <v>0</v>
      </c>
      <c r="M32" s="205"/>
      <c r="N32" s="250">
        <f t="shared" si="1"/>
        <v>6.2172489379008766E-15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22</v>
      </c>
      <c r="C33" s="206" t="s">
        <v>99</v>
      </c>
      <c r="D33" s="126">
        <v>44711</v>
      </c>
      <c r="E33" s="208"/>
      <c r="F33" s="208"/>
      <c r="G33" s="132">
        <f t="shared" si="2"/>
        <v>0</v>
      </c>
      <c r="H33" s="208"/>
      <c r="I33" s="208"/>
      <c r="J33" s="132">
        <f t="shared" si="3"/>
        <v>0</v>
      </c>
      <c r="K33" s="209">
        <v>8.5</v>
      </c>
      <c r="L33" s="210">
        <f t="shared" si="0"/>
        <v>0</v>
      </c>
      <c r="M33" s="211"/>
      <c r="N33" s="249">
        <f t="shared" si="1"/>
        <v>6.2172489379008766E-15</v>
      </c>
      <c r="O33" s="267" t="s">
        <v>216</v>
      </c>
      <c r="P33" s="266">
        <v>8.5</v>
      </c>
      <c r="Q33" s="266"/>
      <c r="R33" s="266"/>
      <c r="S33" s="266"/>
      <c r="T33" s="266"/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44712</v>
      </c>
      <c r="E34" s="127">
        <v>0.34375</v>
      </c>
      <c r="F34" s="282">
        <v>0.51041666666666663</v>
      </c>
      <c r="G34" s="227">
        <f t="shared" si="2"/>
        <v>3.9999999999999991</v>
      </c>
      <c r="H34" s="282">
        <v>0.54166666666666663</v>
      </c>
      <c r="I34" s="127">
        <v>0.72916666666666663</v>
      </c>
      <c r="J34" s="227">
        <f t="shared" si="3"/>
        <v>4.5</v>
      </c>
      <c r="K34" s="115">
        <v>8.5</v>
      </c>
      <c r="L34" s="147">
        <f t="shared" si="0"/>
        <v>8.5</v>
      </c>
      <c r="M34" s="205"/>
      <c r="N34" s="250">
        <f t="shared" si="1"/>
        <v>6.2172489379008766E-15</v>
      </c>
      <c r="O34" s="268" t="s">
        <v>72</v>
      </c>
      <c r="P34" s="269">
        <v>4.5</v>
      </c>
      <c r="Q34" s="269" t="s">
        <v>385</v>
      </c>
      <c r="R34" s="269">
        <v>4</v>
      </c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44713</v>
      </c>
      <c r="E35" s="220">
        <v>0.33333333333333331</v>
      </c>
      <c r="F35" s="220">
        <v>0.51041666666666663</v>
      </c>
      <c r="G35" s="132">
        <f t="shared" si="2"/>
        <v>4.25</v>
      </c>
      <c r="H35" s="220">
        <v>0.54166666666666663</v>
      </c>
      <c r="I35" s="337">
        <v>0.71875</v>
      </c>
      <c r="J35" s="132">
        <f t="shared" si="3"/>
        <v>4.2500000000000009</v>
      </c>
      <c r="K35" s="221">
        <v>8.5</v>
      </c>
      <c r="L35" s="210">
        <f t="shared" si="0"/>
        <v>8.5</v>
      </c>
      <c r="M35" s="211"/>
      <c r="N35" s="249">
        <f>IF(L35&gt;0,(L35-K35)+N34,+N34)</f>
        <v>6.2172489379008766E-15</v>
      </c>
      <c r="O35" s="267" t="s">
        <v>72</v>
      </c>
      <c r="P35" s="266"/>
      <c r="Q35" s="266"/>
      <c r="R35" s="266"/>
      <c r="S35" s="266"/>
      <c r="T35" s="266"/>
      <c r="U35" s="326" t="s">
        <v>339</v>
      </c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44714</v>
      </c>
      <c r="E36" s="127">
        <v>0.35416666666666669</v>
      </c>
      <c r="F36" s="282">
        <v>0.51041666666666663</v>
      </c>
      <c r="G36" s="227">
        <f t="shared" si="2"/>
        <v>3.7499999999999987</v>
      </c>
      <c r="H36" s="282">
        <v>0.54166666666666663</v>
      </c>
      <c r="I36" s="127">
        <v>0.73958333333333337</v>
      </c>
      <c r="J36" s="227">
        <f t="shared" si="3"/>
        <v>4.7500000000000018</v>
      </c>
      <c r="K36" s="115">
        <v>8.5</v>
      </c>
      <c r="L36" s="147">
        <f t="shared" si="0"/>
        <v>8.5</v>
      </c>
      <c r="M36" s="205"/>
      <c r="N36" s="250">
        <f>IF(L36&gt;0,(L36-K36)+N35,+N35)</f>
        <v>6.2172489379008766E-15</v>
      </c>
      <c r="O36" s="268" t="s">
        <v>72</v>
      </c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44715</v>
      </c>
      <c r="E37" s="220">
        <v>0.34375</v>
      </c>
      <c r="F37" s="220">
        <v>0.51041666666666663</v>
      </c>
      <c r="G37" s="132">
        <f t="shared" si="2"/>
        <v>3.9999999999999991</v>
      </c>
      <c r="H37" s="220">
        <v>0.55208333333333337</v>
      </c>
      <c r="I37" s="220">
        <v>0.71875</v>
      </c>
      <c r="J37" s="132">
        <f t="shared" si="3"/>
        <v>3.9999999999999991</v>
      </c>
      <c r="K37" s="221">
        <v>8</v>
      </c>
      <c r="L37" s="210">
        <f t="shared" si="0"/>
        <v>7.9999999999999982</v>
      </c>
      <c r="M37" s="222"/>
      <c r="N37" s="249">
        <f>IF(L37&gt;0,(L37-K37)+N36,+N36)</f>
        <v>4.4408920985006262E-15</v>
      </c>
      <c r="O37" s="276" t="s">
        <v>72</v>
      </c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SUM(L6:L36)</f>
        <v>160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/>
      <c r="D43" s="494"/>
      <c r="E43" s="505">
        <f>SUMIF(O5:O37,"Clair*",P5:P37)+SUMIF(Q5:Q37,"Clair*",R5:R37)+SUMIF(S5:S37,"Clair*",T5:T37)</f>
        <v>0</v>
      </c>
      <c r="F43" s="506"/>
      <c r="AR43" s="117">
        <v>214610</v>
      </c>
      <c r="AS43" s="117">
        <v>244159</v>
      </c>
    </row>
    <row r="44" spans="1:45" x14ac:dyDescent="0.25">
      <c r="C44" s="493"/>
      <c r="D44" s="494"/>
      <c r="E44" s="505">
        <f>SUMIF(O5:O37,"Clair*",P5:P37)+SUMIF(Q5:Q37,"Clair*",R5:R37)+SUMIF(S5:S37,"Clair*",T5:T37)</f>
        <v>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/>
      <c r="D45" s="494"/>
      <c r="E45" s="505">
        <f>SUMIF(O5:O37,"Clair*",P5:P37)+SUMIF(Q5:Q37,"Clair*",R5:R37)+SUMIF(S5:S37,"Clair*",T5:T37)</f>
        <v>0</v>
      </c>
      <c r="F45" s="506"/>
    </row>
    <row r="46" spans="1:45" x14ac:dyDescent="0.25">
      <c r="C46" s="493"/>
      <c r="D46" s="494"/>
      <c r="E46" s="505">
        <f>SUMIF(O5:O37,"Clair*",P5:P37)+SUMIF(Q5:Q37,"Clair*",R5:R37)+SUMIF(S5:S37,"Clair*",T5:T37)</f>
        <v>0</v>
      </c>
      <c r="F46" s="506"/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</row>
    <row r="49" spans="3:6" x14ac:dyDescent="0.25">
      <c r="C49" s="493"/>
      <c r="D49" s="494"/>
      <c r="E49" s="505">
        <f>SUMIF(O5:O37,"Clair*",P5:P37)+SUMIF(Q5:Q37,"Clair*",R5:R37)+SUMIF(S5:S37,"Clair*",T5:T37)</f>
        <v>0</v>
      </c>
      <c r="F49" s="506"/>
    </row>
    <row r="50" spans="3:6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6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6" x14ac:dyDescent="0.25">
      <c r="C52" s="138"/>
    </row>
    <row r="53" spans="3:6" x14ac:dyDescent="0.25">
      <c r="C53" s="138"/>
    </row>
    <row r="54" spans="3:6" x14ac:dyDescent="0.25">
      <c r="C54" s="138"/>
    </row>
    <row r="55" spans="3:6" x14ac:dyDescent="0.25">
      <c r="C55" s="138"/>
      <c r="D55" s="284"/>
      <c r="E55" s="284"/>
      <c r="F55" s="284"/>
    </row>
    <row r="56" spans="3:6" x14ac:dyDescent="0.25">
      <c r="C56" s="138"/>
      <c r="F56" s="285"/>
    </row>
    <row r="57" spans="3:6" x14ac:dyDescent="0.25">
      <c r="F57" s="285"/>
    </row>
    <row r="58" spans="3:6" x14ac:dyDescent="0.25">
      <c r="F58" s="285"/>
    </row>
    <row r="59" spans="3:6" x14ac:dyDescent="0.25">
      <c r="F59" s="285"/>
    </row>
    <row r="60" spans="3:6" x14ac:dyDescent="0.25">
      <c r="F60" s="285"/>
    </row>
    <row r="61" spans="3:6" x14ac:dyDescent="0.25">
      <c r="F61" s="285"/>
    </row>
    <row r="62" spans="3:6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29" priority="2">
      <formula>D5=TODAY()</formula>
    </cfRule>
    <cfRule type="expression" dxfId="28" priority="3">
      <formula>D5&lt;TODAY()</formula>
    </cfRule>
  </conditionalFormatting>
  <conditionalFormatting sqref="G1">
    <cfRule type="expression" dxfId="27" priority="1">
      <formula>$F$1=$E$1</formula>
    </cfRule>
  </conditionalFormatting>
  <dataValidations count="1">
    <dataValidation type="list" allowBlank="1" showInputMessage="1" showErrorMessage="1" sqref="E38 G38" xr:uid="{00000000-0002-0000-14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3">
    <tabColor theme="5" tint="0.59999389629810485"/>
    <pageSetUpPr fitToPage="1"/>
  </sheetPr>
  <dimension ref="A1:AS1048576"/>
  <sheetViews>
    <sheetView showGridLines="0" showZeros="0" showRuler="0" topLeftCell="D1" zoomScale="115" zoomScaleNormal="115" zoomScaleSheetLayoutView="100" zoomScalePageLayoutView="70" workbookViewId="0">
      <selection activeCell="E56" sqref="E56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185,75</v>
      </c>
    </row>
    <row r="5" spans="1:43" ht="16.350000000000001" customHeight="1" thickTop="1" thickBot="1" x14ac:dyDescent="0.35">
      <c r="B5" s="487">
        <f>_xlfn.ISOWEEKNUM(D5)</f>
        <v>22</v>
      </c>
      <c r="C5" s="229" t="s">
        <v>99</v>
      </c>
      <c r="D5" s="126">
        <v>44711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7" si="0">(F5-E5+I5-H5)*24</f>
        <v>0</v>
      </c>
      <c r="M5" s="211"/>
      <c r="N5" s="249"/>
      <c r="O5" s="267"/>
      <c r="P5" s="266"/>
      <c r="Q5" s="266"/>
      <c r="R5" s="266"/>
      <c r="S5" s="266"/>
      <c r="T5" s="266"/>
      <c r="U5" s="330" t="s">
        <v>335</v>
      </c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44712</v>
      </c>
      <c r="E6" s="127"/>
      <c r="F6" s="282"/>
      <c r="G6" s="227">
        <f t="shared" ref="G6:G37" si="1">(F6-E6)*24</f>
        <v>0</v>
      </c>
      <c r="H6" s="282"/>
      <c r="I6" s="127"/>
      <c r="J6" s="227">
        <f t="shared" ref="J6:J37" si="2">(I6-H6)*24</f>
        <v>0</v>
      </c>
      <c r="K6" s="115">
        <v>8.5</v>
      </c>
      <c r="L6" s="147">
        <f t="shared" si="0"/>
        <v>0</v>
      </c>
      <c r="M6" s="205"/>
      <c r="N6" s="250"/>
      <c r="O6" s="268"/>
      <c r="P6" s="269"/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44713</v>
      </c>
      <c r="E7" s="208">
        <v>0.33333333333333331</v>
      </c>
      <c r="F7" s="208">
        <v>0.51041666666666663</v>
      </c>
      <c r="G7" s="132">
        <f t="shared" si="1"/>
        <v>4.25</v>
      </c>
      <c r="H7" s="208">
        <v>0.54166666666666663</v>
      </c>
      <c r="I7" s="208">
        <v>0.71875</v>
      </c>
      <c r="J7" s="132">
        <f t="shared" si="2"/>
        <v>4.2500000000000009</v>
      </c>
      <c r="K7" s="209">
        <v>8.5</v>
      </c>
      <c r="L7" s="210">
        <f t="shared" si="0"/>
        <v>8.5</v>
      </c>
      <c r="M7" s="211"/>
      <c r="N7" s="249">
        <f t="shared" ref="N7:N34" si="3">IF(L7&gt;0,(L7-K7)+N6,+N6)</f>
        <v>0</v>
      </c>
      <c r="O7" s="267" t="s">
        <v>72</v>
      </c>
      <c r="P7" s="266">
        <v>4.5</v>
      </c>
      <c r="Q7" s="266" t="s">
        <v>139</v>
      </c>
      <c r="R7" s="266">
        <v>4</v>
      </c>
      <c r="S7" s="266"/>
      <c r="T7" s="266"/>
      <c r="U7" s="326" t="s">
        <v>339</v>
      </c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44714</v>
      </c>
      <c r="E8" s="127">
        <v>0.35416666666666669</v>
      </c>
      <c r="F8" s="282">
        <v>0.51041666666666663</v>
      </c>
      <c r="G8" s="227">
        <f t="shared" si="1"/>
        <v>3.7499999999999987</v>
      </c>
      <c r="H8" s="282">
        <v>0.54166666666666663</v>
      </c>
      <c r="I8" s="127">
        <v>0.73958333333333337</v>
      </c>
      <c r="J8" s="227">
        <f t="shared" si="2"/>
        <v>4.7500000000000018</v>
      </c>
      <c r="K8" s="115">
        <v>8.5</v>
      </c>
      <c r="L8" s="147">
        <f t="shared" si="0"/>
        <v>8.5</v>
      </c>
      <c r="M8" s="205"/>
      <c r="N8" s="250">
        <f t="shared" si="3"/>
        <v>0</v>
      </c>
      <c r="O8" s="268" t="s">
        <v>72</v>
      </c>
      <c r="P8" s="269">
        <v>4.5</v>
      </c>
      <c r="Q8" s="269" t="s">
        <v>139</v>
      </c>
      <c r="R8" s="269">
        <v>4</v>
      </c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44715</v>
      </c>
      <c r="E9" s="208">
        <v>0.34375</v>
      </c>
      <c r="F9" s="208">
        <v>0.51041666666666663</v>
      </c>
      <c r="G9" s="132">
        <f t="shared" si="1"/>
        <v>3.9999999999999991</v>
      </c>
      <c r="H9" s="208">
        <v>0.55208333333333337</v>
      </c>
      <c r="I9" s="208">
        <v>0.71875</v>
      </c>
      <c r="J9" s="132">
        <f t="shared" si="2"/>
        <v>3.9999999999999991</v>
      </c>
      <c r="K9" s="209">
        <v>8</v>
      </c>
      <c r="L9" s="210">
        <f t="shared" si="0"/>
        <v>7.9999999999999982</v>
      </c>
      <c r="M9" s="211"/>
      <c r="N9" s="249">
        <f t="shared" si="3"/>
        <v>-1.7763568394002505E-15</v>
      </c>
      <c r="O9" s="276" t="s">
        <v>72</v>
      </c>
      <c r="P9" s="277">
        <v>4</v>
      </c>
      <c r="Q9" s="277" t="s">
        <v>139</v>
      </c>
      <c r="R9" s="277">
        <v>4</v>
      </c>
      <c r="S9" s="266"/>
      <c r="T9" s="266"/>
      <c r="U9" s="326" t="s">
        <v>339</v>
      </c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44716</v>
      </c>
      <c r="E10" s="145"/>
      <c r="F10" s="145"/>
      <c r="G10" s="132">
        <f t="shared" si="1"/>
        <v>0</v>
      </c>
      <c r="H10" s="145"/>
      <c r="I10" s="145"/>
      <c r="J10" s="132">
        <f t="shared" si="2"/>
        <v>0</v>
      </c>
      <c r="K10" s="146">
        <v>8</v>
      </c>
      <c r="L10" s="210">
        <f t="shared" si="0"/>
        <v>0</v>
      </c>
      <c r="M10" s="205"/>
      <c r="N10" s="250">
        <f t="shared" si="3"/>
        <v>-1.7763568394002505E-15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44717</v>
      </c>
      <c r="E11" s="145"/>
      <c r="F11" s="145"/>
      <c r="G11" s="132">
        <f t="shared" si="1"/>
        <v>0</v>
      </c>
      <c r="H11" s="145"/>
      <c r="I11" s="145"/>
      <c r="J11" s="132">
        <f t="shared" si="2"/>
        <v>0</v>
      </c>
      <c r="K11" s="146">
        <v>8</v>
      </c>
      <c r="L11" s="210">
        <f t="shared" si="0"/>
        <v>0</v>
      </c>
      <c r="M11" s="205"/>
      <c r="N11" s="250">
        <f t="shared" si="3"/>
        <v>-1.7763568394002505E-15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23</v>
      </c>
      <c r="C12" s="125" t="s">
        <v>99</v>
      </c>
      <c r="D12" s="126">
        <v>44718</v>
      </c>
      <c r="E12" s="127"/>
      <c r="F12" s="127"/>
      <c r="G12" s="227">
        <f t="shared" si="1"/>
        <v>0</v>
      </c>
      <c r="H12" s="127"/>
      <c r="I12" s="127">
        <v>0.35416666666666669</v>
      </c>
      <c r="J12" s="227">
        <f t="shared" si="2"/>
        <v>8.5</v>
      </c>
      <c r="K12" s="115">
        <v>8.5</v>
      </c>
      <c r="L12" s="147">
        <f t="shared" si="0"/>
        <v>8.5</v>
      </c>
      <c r="M12" s="205"/>
      <c r="N12" s="250">
        <f t="shared" si="3"/>
        <v>-1.7763568394002505E-15</v>
      </c>
      <c r="O12" s="268" t="s">
        <v>103</v>
      </c>
      <c r="P12" s="269">
        <v>8.5</v>
      </c>
      <c r="Q12" s="269"/>
      <c r="R12" s="269"/>
      <c r="S12" s="269"/>
      <c r="T12" s="269"/>
      <c r="U12" s="332" t="s">
        <v>335</v>
      </c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44719</v>
      </c>
      <c r="E13" s="208">
        <v>0.33333333333333331</v>
      </c>
      <c r="F13" s="208">
        <v>0.51041666666666663</v>
      </c>
      <c r="G13" s="132">
        <f t="shared" si="1"/>
        <v>4.25</v>
      </c>
      <c r="H13" s="208">
        <v>0.55208333333333337</v>
      </c>
      <c r="I13" s="208">
        <v>0.75</v>
      </c>
      <c r="J13" s="132">
        <f t="shared" si="2"/>
        <v>4.7499999999999991</v>
      </c>
      <c r="K13" s="209">
        <v>8.5</v>
      </c>
      <c r="L13" s="210">
        <f t="shared" si="0"/>
        <v>8.9999999999999964</v>
      </c>
      <c r="M13" s="211"/>
      <c r="N13" s="249">
        <f t="shared" si="3"/>
        <v>0.49999999999999467</v>
      </c>
      <c r="O13" s="267" t="s">
        <v>72</v>
      </c>
      <c r="P13" s="266">
        <v>4.5</v>
      </c>
      <c r="Q13" s="266" t="s">
        <v>387</v>
      </c>
      <c r="R13" s="266">
        <v>4.5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44720</v>
      </c>
      <c r="E14" s="127">
        <v>0.32291666666666669</v>
      </c>
      <c r="F14" s="127">
        <v>0.51041666666666663</v>
      </c>
      <c r="G14" s="227">
        <f t="shared" si="1"/>
        <v>4.4999999999999982</v>
      </c>
      <c r="H14" s="127">
        <v>0.54166666666666663</v>
      </c>
      <c r="I14" s="127">
        <v>0.70833333333333337</v>
      </c>
      <c r="J14" s="227">
        <f t="shared" si="2"/>
        <v>4.0000000000000018</v>
      </c>
      <c r="K14" s="115">
        <v>8.5</v>
      </c>
      <c r="L14" s="147">
        <f t="shared" si="0"/>
        <v>8.5</v>
      </c>
      <c r="M14" s="205"/>
      <c r="N14" s="250">
        <f t="shared" si="3"/>
        <v>0.49999999999999467</v>
      </c>
      <c r="O14" s="268" t="s">
        <v>72</v>
      </c>
      <c r="P14" s="269">
        <v>4.5</v>
      </c>
      <c r="Q14" s="269" t="s">
        <v>300</v>
      </c>
      <c r="R14" s="269">
        <v>4</v>
      </c>
      <c r="S14" s="270"/>
      <c r="T14" s="269"/>
      <c r="U14" s="329" t="s">
        <v>339</v>
      </c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126">
        <v>44721</v>
      </c>
      <c r="E15" s="208">
        <v>0.34375</v>
      </c>
      <c r="F15" s="208">
        <v>0.51041666666666663</v>
      </c>
      <c r="G15" s="132">
        <f t="shared" si="1"/>
        <v>3.9999999999999991</v>
      </c>
      <c r="H15" s="208">
        <v>0.54166666666666663</v>
      </c>
      <c r="I15" s="208">
        <v>0.72916666666666663</v>
      </c>
      <c r="J15" s="132">
        <f t="shared" si="2"/>
        <v>4.5</v>
      </c>
      <c r="K15" s="209">
        <v>8.5</v>
      </c>
      <c r="L15" s="210">
        <f t="shared" si="0"/>
        <v>8.5</v>
      </c>
      <c r="M15" s="211"/>
      <c r="N15" s="249">
        <f t="shared" si="3"/>
        <v>0.49999999999999467</v>
      </c>
      <c r="O15" s="266" t="s">
        <v>72</v>
      </c>
      <c r="P15" s="266">
        <v>4.5</v>
      </c>
      <c r="Q15" s="266" t="s">
        <v>385</v>
      </c>
      <c r="R15" s="266">
        <v>4</v>
      </c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/>
      <c r="B16" s="487"/>
      <c r="C16" s="125" t="s">
        <v>96</v>
      </c>
      <c r="D16" s="126">
        <v>44722</v>
      </c>
      <c r="E16" s="127">
        <v>0.33333333333333331</v>
      </c>
      <c r="F16" s="127">
        <v>0.51041666666666663</v>
      </c>
      <c r="G16" s="227">
        <f t="shared" si="1"/>
        <v>4.25</v>
      </c>
      <c r="H16" s="127">
        <v>0.54166666666666663</v>
      </c>
      <c r="I16" s="127">
        <v>0.67708333333333337</v>
      </c>
      <c r="J16" s="227">
        <f t="shared" si="2"/>
        <v>3.2500000000000018</v>
      </c>
      <c r="K16" s="115">
        <v>8</v>
      </c>
      <c r="L16" s="147">
        <f t="shared" si="0"/>
        <v>7.5000000000000027</v>
      </c>
      <c r="M16" s="205"/>
      <c r="N16" s="250">
        <f t="shared" si="3"/>
        <v>-2.6645352591003757E-15</v>
      </c>
      <c r="O16" s="269" t="s">
        <v>72</v>
      </c>
      <c r="P16" s="269">
        <v>4</v>
      </c>
      <c r="Q16" s="269" t="s">
        <v>139</v>
      </c>
      <c r="R16" s="269">
        <v>3.5</v>
      </c>
      <c r="S16" s="270"/>
      <c r="T16" s="269"/>
      <c r="U16" s="329" t="s">
        <v>339</v>
      </c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44723</v>
      </c>
      <c r="E17" s="145"/>
      <c r="F17" s="145"/>
      <c r="G17" s="132">
        <f t="shared" si="1"/>
        <v>0</v>
      </c>
      <c r="H17" s="145"/>
      <c r="I17" s="145"/>
      <c r="J17" s="132">
        <f t="shared" si="2"/>
        <v>0</v>
      </c>
      <c r="K17" s="146">
        <v>8</v>
      </c>
      <c r="L17" s="210">
        <f t="shared" si="0"/>
        <v>0</v>
      </c>
      <c r="M17" s="205"/>
      <c r="N17" s="250">
        <f t="shared" si="3"/>
        <v>-2.6645352591003757E-15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44724</v>
      </c>
      <c r="E18" s="145"/>
      <c r="F18" s="145"/>
      <c r="G18" s="132">
        <f t="shared" si="1"/>
        <v>0</v>
      </c>
      <c r="H18" s="145"/>
      <c r="I18" s="145"/>
      <c r="J18" s="132">
        <f t="shared" si="2"/>
        <v>0</v>
      </c>
      <c r="K18" s="146">
        <v>8</v>
      </c>
      <c r="L18" s="210">
        <f t="shared" si="0"/>
        <v>0</v>
      </c>
      <c r="M18" s="205"/>
      <c r="N18" s="250">
        <f t="shared" si="3"/>
        <v>-2.6645352591003757E-15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24</v>
      </c>
      <c r="C19" s="206" t="s">
        <v>99</v>
      </c>
      <c r="D19" s="126">
        <v>44725</v>
      </c>
      <c r="E19" s="208"/>
      <c r="F19" s="208"/>
      <c r="G19" s="132">
        <f t="shared" si="1"/>
        <v>0</v>
      </c>
      <c r="H19" s="208"/>
      <c r="I19" s="208">
        <v>0.35416666666666669</v>
      </c>
      <c r="J19" s="132">
        <f t="shared" si="2"/>
        <v>8.5</v>
      </c>
      <c r="K19" s="209">
        <v>8.5</v>
      </c>
      <c r="L19" s="210">
        <f t="shared" si="0"/>
        <v>8.5</v>
      </c>
      <c r="M19" s="211"/>
      <c r="N19" s="249">
        <f t="shared" si="3"/>
        <v>-2.6645352591003757E-15</v>
      </c>
      <c r="O19" s="267" t="s">
        <v>216</v>
      </c>
      <c r="P19" s="266">
        <v>8.5</v>
      </c>
      <c r="Q19" s="266"/>
      <c r="R19" s="266"/>
      <c r="S19" s="271"/>
      <c r="T19" s="266"/>
      <c r="U19" s="330" t="s">
        <v>335</v>
      </c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44726</v>
      </c>
      <c r="E20" s="127">
        <v>0.35416666666666669</v>
      </c>
      <c r="F20" s="127">
        <v>0.51041666666666663</v>
      </c>
      <c r="G20" s="227">
        <f t="shared" si="1"/>
        <v>3.7499999999999987</v>
      </c>
      <c r="H20" s="127">
        <v>0.54166666666666663</v>
      </c>
      <c r="I20" s="440">
        <v>0.75</v>
      </c>
      <c r="J20" s="227">
        <f t="shared" si="2"/>
        <v>5.0000000000000009</v>
      </c>
      <c r="K20" s="115">
        <v>8.5</v>
      </c>
      <c r="L20" s="147">
        <f t="shared" si="0"/>
        <v>8.75</v>
      </c>
      <c r="M20" s="205"/>
      <c r="N20" s="250">
        <f t="shared" si="3"/>
        <v>0.24999999999999734</v>
      </c>
      <c r="O20" s="269" t="s">
        <v>72</v>
      </c>
      <c r="P20" s="269">
        <v>4.5</v>
      </c>
      <c r="Q20" s="269" t="s">
        <v>139</v>
      </c>
      <c r="R20" s="269" t="s">
        <v>393</v>
      </c>
      <c r="S20" s="269" t="s">
        <v>139</v>
      </c>
      <c r="T20" s="269">
        <v>4</v>
      </c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44727</v>
      </c>
      <c r="E21" s="208">
        <v>0.3125</v>
      </c>
      <c r="F21" s="208">
        <v>0.51041666666666663</v>
      </c>
      <c r="G21" s="132">
        <f t="shared" si="1"/>
        <v>4.7499999999999991</v>
      </c>
      <c r="H21" s="208">
        <v>0.55208333333333337</v>
      </c>
      <c r="I21" s="208">
        <v>0.70833333333333337</v>
      </c>
      <c r="J21" s="132">
        <f t="shared" si="2"/>
        <v>3.75</v>
      </c>
      <c r="K21" s="209">
        <v>8.5</v>
      </c>
      <c r="L21" s="210">
        <f t="shared" si="0"/>
        <v>8.5</v>
      </c>
      <c r="M21" s="211"/>
      <c r="N21" s="249">
        <f t="shared" si="3"/>
        <v>0.24999999999999734</v>
      </c>
      <c r="O21" s="267" t="s">
        <v>72</v>
      </c>
      <c r="P21" s="266">
        <v>4.5</v>
      </c>
      <c r="Q21" s="266" t="s">
        <v>300</v>
      </c>
      <c r="R21" s="266">
        <v>4</v>
      </c>
      <c r="S21" s="266"/>
      <c r="T21" s="266"/>
      <c r="U21" s="326" t="s">
        <v>339</v>
      </c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44728</v>
      </c>
      <c r="E22" s="127">
        <v>0.34375</v>
      </c>
      <c r="F22" s="127">
        <v>0.51041666666666663</v>
      </c>
      <c r="G22" s="227">
        <f t="shared" si="1"/>
        <v>3.9999999999999991</v>
      </c>
      <c r="H22" s="127">
        <v>0.54166666666666663</v>
      </c>
      <c r="I22" s="440">
        <v>0.71875</v>
      </c>
      <c r="J22" s="227">
        <f t="shared" si="2"/>
        <v>4.2500000000000009</v>
      </c>
      <c r="K22" s="115">
        <v>8.5</v>
      </c>
      <c r="L22" s="147">
        <f t="shared" si="0"/>
        <v>8.25</v>
      </c>
      <c r="M22" s="205"/>
      <c r="N22" s="250">
        <f t="shared" si="3"/>
        <v>-2.6645352591003757E-15</v>
      </c>
      <c r="O22" s="268" t="s">
        <v>72</v>
      </c>
      <c r="P22" s="269">
        <v>4.5</v>
      </c>
      <c r="Q22" s="269" t="s">
        <v>169</v>
      </c>
      <c r="R22" s="269" t="s">
        <v>394</v>
      </c>
      <c r="S22" s="269" t="s">
        <v>139</v>
      </c>
      <c r="T22" s="269">
        <v>4</v>
      </c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44729</v>
      </c>
      <c r="E23" s="208">
        <v>0.33333333333333331</v>
      </c>
      <c r="F23" s="208">
        <v>0.5</v>
      </c>
      <c r="G23" s="132">
        <f t="shared" si="1"/>
        <v>4</v>
      </c>
      <c r="H23" s="208">
        <v>0.54166666666666663</v>
      </c>
      <c r="I23" s="208">
        <v>0.70833333333333337</v>
      </c>
      <c r="J23" s="132">
        <f t="shared" si="2"/>
        <v>4.0000000000000018</v>
      </c>
      <c r="K23" s="209">
        <v>8</v>
      </c>
      <c r="L23" s="210">
        <f t="shared" si="0"/>
        <v>8</v>
      </c>
      <c r="M23" s="211"/>
      <c r="N23" s="249">
        <f t="shared" si="3"/>
        <v>-2.6645352591003757E-15</v>
      </c>
      <c r="O23" s="267" t="s">
        <v>72</v>
      </c>
      <c r="P23" s="266">
        <v>4</v>
      </c>
      <c r="Q23" s="266" t="s">
        <v>139</v>
      </c>
      <c r="R23" s="266">
        <v>4</v>
      </c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44730</v>
      </c>
      <c r="E24" s="145"/>
      <c r="F24" s="145"/>
      <c r="G24" s="132">
        <f t="shared" si="1"/>
        <v>0</v>
      </c>
      <c r="H24" s="145"/>
      <c r="I24" s="145"/>
      <c r="J24" s="132">
        <f t="shared" si="2"/>
        <v>0</v>
      </c>
      <c r="K24" s="146">
        <v>8</v>
      </c>
      <c r="L24" s="210">
        <f t="shared" si="0"/>
        <v>0</v>
      </c>
      <c r="M24" s="205"/>
      <c r="N24" s="250">
        <f t="shared" si="3"/>
        <v>-2.6645352591003757E-15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44731</v>
      </c>
      <c r="E25" s="145"/>
      <c r="F25" s="145"/>
      <c r="G25" s="132">
        <f t="shared" si="1"/>
        <v>0</v>
      </c>
      <c r="H25" s="145"/>
      <c r="I25" s="145"/>
      <c r="J25" s="132">
        <f t="shared" si="2"/>
        <v>0</v>
      </c>
      <c r="K25" s="146">
        <v>8</v>
      </c>
      <c r="L25" s="210">
        <f t="shared" si="0"/>
        <v>0</v>
      </c>
      <c r="M25" s="205"/>
      <c r="N25" s="250">
        <f t="shared" si="3"/>
        <v>-2.6645352591003757E-15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25</v>
      </c>
      <c r="C26" s="125" t="s">
        <v>99</v>
      </c>
      <c r="D26" s="126">
        <v>44732</v>
      </c>
      <c r="E26" s="127">
        <v>0.3125</v>
      </c>
      <c r="F26" s="127">
        <v>0.51041666666666663</v>
      </c>
      <c r="G26" s="227">
        <f t="shared" si="1"/>
        <v>4.7499999999999991</v>
      </c>
      <c r="H26" s="127">
        <v>0.54166666666666663</v>
      </c>
      <c r="I26" s="127">
        <v>0.69791666666666663</v>
      </c>
      <c r="J26" s="227">
        <f t="shared" si="2"/>
        <v>3.75</v>
      </c>
      <c r="K26" s="115">
        <v>8.5</v>
      </c>
      <c r="L26" s="147">
        <f t="shared" si="0"/>
        <v>8.5</v>
      </c>
      <c r="M26" s="205"/>
      <c r="N26" s="250">
        <f t="shared" si="3"/>
        <v>-2.6645352591003757E-15</v>
      </c>
      <c r="O26" s="268" t="s">
        <v>72</v>
      </c>
      <c r="P26" s="269">
        <v>4.5</v>
      </c>
      <c r="Q26" s="269" t="s">
        <v>139</v>
      </c>
      <c r="R26" s="269">
        <v>4</v>
      </c>
      <c r="S26" s="269"/>
      <c r="T26" s="269"/>
      <c r="U26" s="329" t="s">
        <v>335</v>
      </c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44733</v>
      </c>
      <c r="E27" s="208">
        <v>0.3125</v>
      </c>
      <c r="F27" s="208">
        <v>0.51041666666666663</v>
      </c>
      <c r="G27" s="132">
        <f>(F27-E27)*24</f>
        <v>4.7499999999999991</v>
      </c>
      <c r="H27" s="208">
        <v>0.55208333333333337</v>
      </c>
      <c r="I27" s="208">
        <v>0.70833333333333337</v>
      </c>
      <c r="J27" s="132">
        <f t="shared" si="2"/>
        <v>3.75</v>
      </c>
      <c r="K27" s="209">
        <v>8.5</v>
      </c>
      <c r="L27" s="210">
        <f t="shared" si="0"/>
        <v>8.5</v>
      </c>
      <c r="M27" s="211"/>
      <c r="N27" s="249">
        <f t="shared" si="3"/>
        <v>-2.6645352591003757E-15</v>
      </c>
      <c r="O27" s="267" t="s">
        <v>72</v>
      </c>
      <c r="P27" s="266">
        <v>4.5</v>
      </c>
      <c r="Q27" s="266" t="s">
        <v>139</v>
      </c>
      <c r="R27" s="266">
        <v>4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44734</v>
      </c>
      <c r="E28" s="127">
        <v>0.3125</v>
      </c>
      <c r="F28" s="127">
        <v>0.51041666666666663</v>
      </c>
      <c r="G28" s="227">
        <f t="shared" si="1"/>
        <v>4.7499999999999991</v>
      </c>
      <c r="H28" s="127">
        <v>0.54166666666666663</v>
      </c>
      <c r="I28" s="127">
        <v>0.69791666666666663</v>
      </c>
      <c r="J28" s="227">
        <f t="shared" si="2"/>
        <v>3.75</v>
      </c>
      <c r="K28" s="115">
        <v>8.5</v>
      </c>
      <c r="L28" s="147">
        <f t="shared" si="0"/>
        <v>8.5</v>
      </c>
      <c r="M28" s="205"/>
      <c r="N28" s="250">
        <f t="shared" si="3"/>
        <v>-2.6645352591003757E-15</v>
      </c>
      <c r="O28" s="268" t="s">
        <v>72</v>
      </c>
      <c r="P28" s="269">
        <v>4.5</v>
      </c>
      <c r="Q28" s="269" t="s">
        <v>293</v>
      </c>
      <c r="R28" s="269">
        <v>4</v>
      </c>
      <c r="S28" s="269"/>
      <c r="T28" s="269"/>
      <c r="U28" s="329" t="s">
        <v>339</v>
      </c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44735</v>
      </c>
      <c r="E29" s="208">
        <v>0.3125</v>
      </c>
      <c r="F29" s="208">
        <v>0.51041666666666663</v>
      </c>
      <c r="G29" s="132">
        <f t="shared" si="1"/>
        <v>4.7499999999999991</v>
      </c>
      <c r="H29" s="208">
        <v>0.55208333333333337</v>
      </c>
      <c r="I29" s="208">
        <v>0.70833333333333337</v>
      </c>
      <c r="J29" s="132">
        <f t="shared" si="2"/>
        <v>3.75</v>
      </c>
      <c r="K29" s="209">
        <v>8.5</v>
      </c>
      <c r="L29" s="210">
        <f t="shared" si="0"/>
        <v>8.5</v>
      </c>
      <c r="M29" s="211"/>
      <c r="N29" s="249">
        <f t="shared" si="3"/>
        <v>-2.6645352591003757E-15</v>
      </c>
      <c r="O29" s="267" t="s">
        <v>72</v>
      </c>
      <c r="P29" s="266">
        <v>4.5</v>
      </c>
      <c r="Q29" s="266" t="s">
        <v>387</v>
      </c>
      <c r="R29" s="266">
        <v>4</v>
      </c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44736</v>
      </c>
      <c r="E30" s="127">
        <v>0.32291666666666669</v>
      </c>
      <c r="F30" s="127">
        <v>0.51041666666666663</v>
      </c>
      <c r="G30" s="227">
        <f t="shared" si="1"/>
        <v>4.4999999999999982</v>
      </c>
      <c r="H30" s="127">
        <v>0.55208333333333337</v>
      </c>
      <c r="I30" s="127">
        <v>0.69791666666666663</v>
      </c>
      <c r="J30" s="227">
        <f t="shared" si="2"/>
        <v>3.4999999999999982</v>
      </c>
      <c r="K30" s="115">
        <v>8</v>
      </c>
      <c r="L30" s="147">
        <f t="shared" si="0"/>
        <v>7.9999999999999956</v>
      </c>
      <c r="M30" s="205"/>
      <c r="N30" s="250">
        <f t="shared" si="3"/>
        <v>-7.1054273576010019E-15</v>
      </c>
      <c r="O30" s="268" t="s">
        <v>72</v>
      </c>
      <c r="P30" s="269">
        <v>4</v>
      </c>
      <c r="Q30" s="269" t="s">
        <v>387</v>
      </c>
      <c r="R30" s="269">
        <v>4</v>
      </c>
      <c r="S30" s="269"/>
      <c r="T30" s="269"/>
      <c r="U30" s="329" t="s">
        <v>339</v>
      </c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44737</v>
      </c>
      <c r="E31" s="145"/>
      <c r="F31" s="145"/>
      <c r="G31" s="132">
        <f t="shared" si="1"/>
        <v>0</v>
      </c>
      <c r="H31" s="145"/>
      <c r="I31" s="145"/>
      <c r="J31" s="227">
        <f t="shared" si="2"/>
        <v>0</v>
      </c>
      <c r="K31" s="146">
        <v>8</v>
      </c>
      <c r="L31" s="210">
        <f t="shared" si="0"/>
        <v>0</v>
      </c>
      <c r="M31" s="205"/>
      <c r="N31" s="250">
        <f t="shared" si="3"/>
        <v>-7.1054273576010019E-15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44738</v>
      </c>
      <c r="E32" s="145"/>
      <c r="F32" s="145"/>
      <c r="G32" s="132">
        <f t="shared" si="1"/>
        <v>0</v>
      </c>
      <c r="H32" s="145"/>
      <c r="I32" s="145"/>
      <c r="J32" s="132">
        <f t="shared" si="2"/>
        <v>0</v>
      </c>
      <c r="K32" s="146">
        <v>8</v>
      </c>
      <c r="L32" s="210">
        <f t="shared" si="0"/>
        <v>0</v>
      </c>
      <c r="M32" s="205"/>
      <c r="N32" s="250">
        <f t="shared" si="3"/>
        <v>-7.1054273576010019E-15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26</v>
      </c>
      <c r="C33" s="206" t="s">
        <v>99</v>
      </c>
      <c r="D33" s="126">
        <v>44739</v>
      </c>
      <c r="E33" s="208">
        <v>0.32291666666666669</v>
      </c>
      <c r="F33" s="208">
        <v>0.51041666666666663</v>
      </c>
      <c r="G33" s="132">
        <f t="shared" si="1"/>
        <v>4.4999999999999982</v>
      </c>
      <c r="H33" s="208">
        <v>0.54166666666666663</v>
      </c>
      <c r="I33" s="440">
        <v>0.71875</v>
      </c>
      <c r="J33" s="132">
        <f t="shared" si="2"/>
        <v>4.2500000000000009</v>
      </c>
      <c r="K33" s="209">
        <v>8.5</v>
      </c>
      <c r="L33" s="210">
        <f t="shared" si="0"/>
        <v>8.75</v>
      </c>
      <c r="M33" s="211"/>
      <c r="N33" s="249">
        <f t="shared" si="3"/>
        <v>0.24999999999999289</v>
      </c>
      <c r="O33" s="267" t="s">
        <v>72</v>
      </c>
      <c r="P33" s="266">
        <v>4.5</v>
      </c>
      <c r="Q33" s="266" t="s">
        <v>139</v>
      </c>
      <c r="R33" s="266" t="s">
        <v>393</v>
      </c>
      <c r="S33" s="266" t="s">
        <v>139</v>
      </c>
      <c r="T33" s="266">
        <v>4</v>
      </c>
      <c r="U33" s="326" t="s">
        <v>335</v>
      </c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44740</v>
      </c>
      <c r="E34" s="127">
        <v>0.33333333333333331</v>
      </c>
      <c r="F34" s="282">
        <v>0.51041666666666663</v>
      </c>
      <c r="G34" s="227">
        <f t="shared" si="1"/>
        <v>4.25</v>
      </c>
      <c r="H34" s="282">
        <v>0.54166666666666663</v>
      </c>
      <c r="I34" s="440">
        <v>0.72916666666666663</v>
      </c>
      <c r="J34" s="227">
        <f t="shared" si="2"/>
        <v>4.5</v>
      </c>
      <c r="K34" s="115">
        <v>8.5</v>
      </c>
      <c r="L34" s="147">
        <f t="shared" si="0"/>
        <v>8.75</v>
      </c>
      <c r="M34" s="205"/>
      <c r="N34" s="250">
        <f t="shared" si="3"/>
        <v>0.49999999999999289</v>
      </c>
      <c r="O34" s="268" t="s">
        <v>72</v>
      </c>
      <c r="P34" s="269">
        <v>4.5</v>
      </c>
      <c r="Q34" s="269" t="s">
        <v>139</v>
      </c>
      <c r="R34" s="269" t="s">
        <v>393</v>
      </c>
      <c r="S34" s="269" t="s">
        <v>139</v>
      </c>
      <c r="T34" s="269">
        <v>4</v>
      </c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44741</v>
      </c>
      <c r="E35" s="220">
        <v>0.33333333333333331</v>
      </c>
      <c r="F35" s="220">
        <v>0.51041666666666663</v>
      </c>
      <c r="G35" s="132">
        <f t="shared" si="1"/>
        <v>4.25</v>
      </c>
      <c r="H35" s="220">
        <v>0.54166666666666663</v>
      </c>
      <c r="I35" s="441">
        <v>0.72916666666666663</v>
      </c>
      <c r="J35" s="132">
        <f t="shared" si="2"/>
        <v>4.5</v>
      </c>
      <c r="K35" s="221">
        <v>8.5</v>
      </c>
      <c r="L35" s="210">
        <f t="shared" si="0"/>
        <v>8.75</v>
      </c>
      <c r="M35" s="211"/>
      <c r="N35" s="249">
        <f>IF(L35&gt;0,(L35-K35)+N34,+N34)</f>
        <v>0.74999999999999289</v>
      </c>
      <c r="O35" s="267" t="s">
        <v>72</v>
      </c>
      <c r="P35" s="266">
        <v>4.5</v>
      </c>
      <c r="Q35" s="266" t="s">
        <v>139</v>
      </c>
      <c r="R35" s="266" t="s">
        <v>393</v>
      </c>
      <c r="S35" s="266" t="s">
        <v>139</v>
      </c>
      <c r="T35" s="266">
        <v>4</v>
      </c>
      <c r="U35" s="326" t="s">
        <v>339</v>
      </c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44742</v>
      </c>
      <c r="E36" s="127">
        <v>0.3125</v>
      </c>
      <c r="F36" s="282">
        <v>0.5</v>
      </c>
      <c r="G36" s="227">
        <f t="shared" si="1"/>
        <v>4.5</v>
      </c>
      <c r="H36" s="282">
        <v>0.54166666666666663</v>
      </c>
      <c r="I36" s="440">
        <v>0.70833333333333337</v>
      </c>
      <c r="J36" s="227">
        <f t="shared" si="2"/>
        <v>4.0000000000000018</v>
      </c>
      <c r="K36" s="115">
        <v>8.5</v>
      </c>
      <c r="L36" s="147">
        <f t="shared" si="0"/>
        <v>8.5000000000000018</v>
      </c>
      <c r="M36" s="205"/>
      <c r="N36" s="250">
        <f>IF(L36&gt;0,(L36-K36)+N35,+N35)</f>
        <v>0.74999999999999467</v>
      </c>
      <c r="O36" s="268" t="s">
        <v>72</v>
      </c>
      <c r="P36" s="269">
        <v>4.5</v>
      </c>
      <c r="Q36" s="269" t="s">
        <v>139</v>
      </c>
      <c r="R36" s="269">
        <v>4</v>
      </c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44743</v>
      </c>
      <c r="E37" s="220"/>
      <c r="F37" s="220"/>
      <c r="G37" s="132">
        <f t="shared" si="1"/>
        <v>0</v>
      </c>
      <c r="H37" s="220"/>
      <c r="I37" s="220"/>
      <c r="J37" s="132">
        <f t="shared" si="2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0.74999999999999467</v>
      </c>
      <c r="O37" s="276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SUM(L6:L36)</f>
        <v>185.75</v>
      </c>
      <c r="M38" s="135"/>
      <c r="N38" s="135"/>
      <c r="O38" s="135"/>
      <c r="P38" s="135"/>
      <c r="Q38" s="135"/>
      <c r="R38" s="439" t="s">
        <v>396</v>
      </c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499">
        <f>SUM(E41:E50)</f>
        <v>185</v>
      </c>
      <c r="F40" s="500"/>
      <c r="G40" s="438" t="s">
        <v>395</v>
      </c>
      <c r="H40" s="437"/>
      <c r="P40" s="138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55.5</v>
      </c>
      <c r="F41" s="510"/>
      <c r="P41" s="139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20.5</v>
      </c>
      <c r="F42" s="510"/>
      <c r="P42" s="139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SUMIF(O5:O37,"For*",P5:P37)+SUMIF(Q5:Q37,"For*",R5:R37)+SUMIF(S5:S37,"For*",T5:T37)</f>
        <v>88</v>
      </c>
      <c r="F43" s="506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8.5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293</v>
      </c>
      <c r="D45" s="494"/>
      <c r="E45" s="505">
        <f>SUMIF(O5:O37,"OBA*",P5:P37)+SUMIF(Q5:Q37,"OBA*",R5:R37)+SUMIF(S5:S37,"OBA*",T5:T37)</f>
        <v>4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8.5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C56" s="138"/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26" priority="2">
      <formula>D5=TODAY()</formula>
    </cfRule>
    <cfRule type="expression" dxfId="25" priority="3">
      <formula>D5&lt;TODAY()</formula>
    </cfRule>
  </conditionalFormatting>
  <conditionalFormatting sqref="G1">
    <cfRule type="expression" dxfId="24" priority="1">
      <formula>$F$1=$E$1</formula>
    </cfRule>
  </conditionalFormatting>
  <dataValidations disablePrompts="1" count="1">
    <dataValidation type="list" allowBlank="1" showInputMessage="1" showErrorMessage="1" sqref="E38 G38" xr:uid="{00000000-0002-0000-15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4">
    <tabColor theme="5" tint="0.59999389629810485"/>
    <pageSetUpPr fitToPage="1"/>
  </sheetPr>
  <dimension ref="A1:AS1048576"/>
  <sheetViews>
    <sheetView showGridLines="0" showZeros="0" showRuler="0" topLeftCell="S3" zoomScale="115" zoomScaleNormal="115" zoomScaleSheetLayoutView="100" zoomScalePageLayoutView="70" workbookViewId="0">
      <selection activeCell="I31" sqref="I31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11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43" width="11" style="117"/>
    <col min="44" max="45" width="12.3984375" style="117" customWidth="1"/>
    <col min="46" max="16384" width="11" style="117"/>
  </cols>
  <sheetData>
    <row r="1" spans="1:43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3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3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</row>
    <row r="4" spans="1:43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176</v>
      </c>
    </row>
    <row r="5" spans="1:43" ht="16.350000000000001" customHeight="1" thickTop="1" thickBot="1" x14ac:dyDescent="0.35">
      <c r="B5" s="487">
        <f>_xlfn.ISOWEEKNUM(D5)</f>
        <v>22</v>
      </c>
      <c r="C5" s="229" t="s">
        <v>99</v>
      </c>
      <c r="D5" s="126">
        <v>44711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/>
      <c r="M5" s="211"/>
      <c r="N5" s="249"/>
      <c r="O5" s="267"/>
      <c r="P5" s="266"/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3" ht="16.350000000000001" customHeight="1" thickTop="1" thickBot="1" x14ac:dyDescent="0.35">
      <c r="B6" s="487"/>
      <c r="C6" s="125" t="s">
        <v>93</v>
      </c>
      <c r="D6" s="126">
        <v>44712</v>
      </c>
      <c r="E6" s="127"/>
      <c r="F6" s="282"/>
      <c r="G6" s="227">
        <f t="shared" ref="G6:G37" si="0">(F6-E6)*24</f>
        <v>0</v>
      </c>
      <c r="H6" s="282"/>
      <c r="I6" s="127"/>
      <c r="J6" s="227">
        <f t="shared" ref="J6:J37" si="1">(I6-H6)*24</f>
        <v>0</v>
      </c>
      <c r="K6" s="115">
        <v>8.5</v>
      </c>
      <c r="L6" s="147"/>
      <c r="M6" s="205"/>
      <c r="N6" s="250"/>
      <c r="O6" s="268"/>
      <c r="P6" s="269"/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3" ht="16.350000000000001" customHeight="1" thickTop="1" thickBot="1" x14ac:dyDescent="0.35">
      <c r="A7" s="150"/>
      <c r="B7" s="487"/>
      <c r="C7" s="206" t="s">
        <v>94</v>
      </c>
      <c r="D7" s="126">
        <v>44713</v>
      </c>
      <c r="E7" s="208"/>
      <c r="F7" s="208"/>
      <c r="G7" s="132">
        <f t="shared" si="0"/>
        <v>0</v>
      </c>
      <c r="H7" s="208"/>
      <c r="I7" s="208"/>
      <c r="J7" s="132">
        <f t="shared" si="1"/>
        <v>0</v>
      </c>
      <c r="K7" s="209">
        <v>8.5</v>
      </c>
      <c r="L7" s="210"/>
      <c r="M7" s="211"/>
      <c r="N7" s="249">
        <f t="shared" ref="N7:N34" si="2">IF(L7&gt;0,(L7-K7)+N6,+N6)</f>
        <v>0</v>
      </c>
      <c r="O7" s="267"/>
      <c r="P7" s="266"/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3" ht="16.350000000000001" customHeight="1" thickTop="1" thickBot="1" x14ac:dyDescent="0.35">
      <c r="A8" s="150"/>
      <c r="B8" s="487"/>
      <c r="C8" s="125" t="s">
        <v>95</v>
      </c>
      <c r="D8" s="126">
        <v>44714</v>
      </c>
      <c r="E8" s="127"/>
      <c r="F8" s="282"/>
      <c r="G8" s="227">
        <f t="shared" si="0"/>
        <v>0</v>
      </c>
      <c r="H8" s="282"/>
      <c r="I8" s="127"/>
      <c r="J8" s="227">
        <f t="shared" si="1"/>
        <v>0</v>
      </c>
      <c r="K8" s="115">
        <v>8.5</v>
      </c>
      <c r="L8" s="147"/>
      <c r="M8" s="205"/>
      <c r="N8" s="250">
        <f t="shared" si="2"/>
        <v>0</v>
      </c>
      <c r="O8" s="268"/>
      <c r="P8" s="269"/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</row>
    <row r="9" spans="1:43" ht="16.05" customHeight="1" thickTop="1" thickBot="1" x14ac:dyDescent="0.35">
      <c r="A9" s="150"/>
      <c r="B9" s="487"/>
      <c r="C9" s="206" t="s">
        <v>96</v>
      </c>
      <c r="D9" s="126">
        <v>44743</v>
      </c>
      <c r="E9" s="208">
        <v>0.33333333333333331</v>
      </c>
      <c r="F9" s="208">
        <v>0.51041666666666663</v>
      </c>
      <c r="G9" s="132">
        <f t="shared" si="0"/>
        <v>4.25</v>
      </c>
      <c r="H9" s="208">
        <v>0.54166666666666663</v>
      </c>
      <c r="I9" s="208">
        <v>0.69791666666666663</v>
      </c>
      <c r="J9" s="132">
        <f t="shared" si="1"/>
        <v>3.75</v>
      </c>
      <c r="K9" s="209">
        <v>8</v>
      </c>
      <c r="L9" s="210">
        <f t="shared" ref="L9:L37" si="3">(F9-E9+I9-H9)*24</f>
        <v>8</v>
      </c>
      <c r="M9" s="211"/>
      <c r="N9" s="249">
        <f t="shared" si="2"/>
        <v>0</v>
      </c>
      <c r="O9" s="276" t="s">
        <v>72</v>
      </c>
      <c r="P9" s="277">
        <v>4</v>
      </c>
      <c r="Q9" s="277" t="s">
        <v>397</v>
      </c>
      <c r="R9" s="277">
        <v>4</v>
      </c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3" ht="1.35" customHeight="1" thickTop="1" thickBot="1" x14ac:dyDescent="0.35">
      <c r="A10" s="150"/>
      <c r="B10" s="122"/>
      <c r="C10" s="143" t="s">
        <v>97</v>
      </c>
      <c r="D10" s="126">
        <v>44744</v>
      </c>
      <c r="E10" s="145"/>
      <c r="F10" s="145"/>
      <c r="G10" s="132">
        <f t="shared" si="0"/>
        <v>0</v>
      </c>
      <c r="H10" s="145"/>
      <c r="I10" s="145"/>
      <c r="J10" s="132">
        <f t="shared" si="1"/>
        <v>0</v>
      </c>
      <c r="K10" s="146">
        <v>8</v>
      </c>
      <c r="L10" s="210"/>
      <c r="M10" s="205"/>
      <c r="N10" s="250">
        <f t="shared" si="2"/>
        <v>0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3" ht="1.35" customHeight="1" thickTop="1" thickBot="1" x14ac:dyDescent="0.35">
      <c r="A11" s="150"/>
      <c r="B11" s="122"/>
      <c r="C11" s="143" t="s">
        <v>98</v>
      </c>
      <c r="D11" s="126">
        <v>44745</v>
      </c>
      <c r="E11" s="145"/>
      <c r="F11" s="145"/>
      <c r="G11" s="132">
        <f t="shared" si="0"/>
        <v>0</v>
      </c>
      <c r="H11" s="145"/>
      <c r="I11" s="145"/>
      <c r="J11" s="132">
        <f t="shared" si="1"/>
        <v>0</v>
      </c>
      <c r="K11" s="146">
        <v>8</v>
      </c>
      <c r="L11" s="210"/>
      <c r="M11" s="205"/>
      <c r="N11" s="250">
        <f t="shared" si="2"/>
        <v>0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3" ht="16.05" customHeight="1" thickTop="1" thickBot="1" x14ac:dyDescent="0.35">
      <c r="A12" s="150"/>
      <c r="B12" s="487">
        <f>_xlfn.ISOWEEKNUM(D12)</f>
        <v>27</v>
      </c>
      <c r="C12" s="125" t="s">
        <v>99</v>
      </c>
      <c r="D12" s="126">
        <v>44746</v>
      </c>
      <c r="E12" s="127">
        <v>0.33333333333333331</v>
      </c>
      <c r="F12" s="127">
        <v>0.51041666666666663</v>
      </c>
      <c r="G12" s="227">
        <f t="shared" si="0"/>
        <v>4.25</v>
      </c>
      <c r="H12" s="127">
        <v>0.54166666666666663</v>
      </c>
      <c r="I12" s="127">
        <v>0.71875</v>
      </c>
      <c r="J12" s="227">
        <f t="shared" si="1"/>
        <v>4.2500000000000009</v>
      </c>
      <c r="K12" s="115">
        <v>8.5</v>
      </c>
      <c r="L12" s="147">
        <f t="shared" si="3"/>
        <v>8.5</v>
      </c>
      <c r="M12" s="205"/>
      <c r="N12" s="250">
        <f t="shared" si="2"/>
        <v>0</v>
      </c>
      <c r="O12" s="268" t="s">
        <v>72</v>
      </c>
      <c r="P12" s="269">
        <v>4.5</v>
      </c>
      <c r="Q12" s="269" t="s">
        <v>397</v>
      </c>
      <c r="R12" s="269">
        <v>4</v>
      </c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3" ht="16.05" customHeight="1" thickTop="1" thickBot="1" x14ac:dyDescent="0.35">
      <c r="A13" s="150"/>
      <c r="B13" s="487"/>
      <c r="C13" s="206" t="s">
        <v>93</v>
      </c>
      <c r="D13" s="126">
        <v>44747</v>
      </c>
      <c r="E13" s="208">
        <v>0.33333333333333331</v>
      </c>
      <c r="F13" s="208">
        <v>0.51041666666666663</v>
      </c>
      <c r="G13" s="132">
        <f t="shared" si="0"/>
        <v>4.25</v>
      </c>
      <c r="H13" s="208">
        <v>0.54166666666666663</v>
      </c>
      <c r="I13" s="208">
        <v>0.71875</v>
      </c>
      <c r="J13" s="132">
        <f t="shared" si="1"/>
        <v>4.2500000000000009</v>
      </c>
      <c r="K13" s="209">
        <v>8.5</v>
      </c>
      <c r="L13" s="210">
        <f t="shared" si="3"/>
        <v>8.5</v>
      </c>
      <c r="M13" s="211"/>
      <c r="N13" s="249">
        <f t="shared" si="2"/>
        <v>0</v>
      </c>
      <c r="O13" s="267" t="s">
        <v>72</v>
      </c>
      <c r="P13" s="266">
        <v>4.5</v>
      </c>
      <c r="Q13" s="266" t="s">
        <v>139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3" ht="16.05" customHeight="1" thickTop="1" thickBot="1" x14ac:dyDescent="0.35">
      <c r="A14" s="150"/>
      <c r="B14" s="487"/>
      <c r="C14" s="125" t="s">
        <v>94</v>
      </c>
      <c r="D14" s="126">
        <v>44748</v>
      </c>
      <c r="E14" s="127">
        <v>0.33333333333333331</v>
      </c>
      <c r="F14" s="127">
        <v>0.51041666666666663</v>
      </c>
      <c r="G14" s="227">
        <f t="shared" si="0"/>
        <v>4.25</v>
      </c>
      <c r="H14" s="127">
        <v>0.54166666666666663</v>
      </c>
      <c r="I14" s="127">
        <v>0.71875</v>
      </c>
      <c r="J14" s="227">
        <f t="shared" si="1"/>
        <v>4.2500000000000009</v>
      </c>
      <c r="K14" s="115">
        <v>8.5</v>
      </c>
      <c r="L14" s="147">
        <f t="shared" si="3"/>
        <v>8.5</v>
      </c>
      <c r="M14" s="205"/>
      <c r="N14" s="250">
        <f t="shared" si="2"/>
        <v>0</v>
      </c>
      <c r="O14" s="268" t="s">
        <v>72</v>
      </c>
      <c r="P14" s="269">
        <v>4.5</v>
      </c>
      <c r="Q14" s="269" t="s">
        <v>139</v>
      </c>
      <c r="R14" s="269">
        <v>4</v>
      </c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3" ht="16.05" customHeight="1" thickTop="1" thickBot="1" x14ac:dyDescent="0.35">
      <c r="A15" s="150"/>
      <c r="B15" s="487"/>
      <c r="C15" s="206" t="s">
        <v>95</v>
      </c>
      <c r="D15" s="126">
        <v>44749</v>
      </c>
      <c r="E15" s="208"/>
      <c r="F15" s="208"/>
      <c r="G15" s="132">
        <f t="shared" si="0"/>
        <v>0</v>
      </c>
      <c r="H15" s="208"/>
      <c r="I15" s="208">
        <v>0.35416666666666669</v>
      </c>
      <c r="J15" s="132">
        <f t="shared" si="1"/>
        <v>8.5</v>
      </c>
      <c r="K15" s="209">
        <v>8.5</v>
      </c>
      <c r="L15" s="210">
        <f t="shared" si="3"/>
        <v>8.5</v>
      </c>
      <c r="M15" s="211"/>
      <c r="N15" s="249">
        <f t="shared" si="2"/>
        <v>0</v>
      </c>
      <c r="O15" s="266" t="s">
        <v>103</v>
      </c>
      <c r="P15" s="266">
        <v>8.5</v>
      </c>
      <c r="Q15" s="266"/>
      <c r="R15" s="266"/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3" ht="16.05" customHeight="1" thickTop="1" thickBot="1" x14ac:dyDescent="0.35">
      <c r="A16" s="150"/>
      <c r="B16" s="487"/>
      <c r="C16" s="125" t="s">
        <v>96</v>
      </c>
      <c r="D16" s="126">
        <v>44750</v>
      </c>
      <c r="E16" s="127"/>
      <c r="F16" s="127"/>
      <c r="G16" s="227">
        <f t="shared" si="0"/>
        <v>0</v>
      </c>
      <c r="H16" s="127"/>
      <c r="I16" s="127">
        <v>0.33333333333333331</v>
      </c>
      <c r="J16" s="227">
        <f t="shared" si="1"/>
        <v>8</v>
      </c>
      <c r="K16" s="115">
        <v>8</v>
      </c>
      <c r="L16" s="147">
        <f t="shared" si="3"/>
        <v>8</v>
      </c>
      <c r="M16" s="205"/>
      <c r="N16" s="250">
        <f t="shared" si="2"/>
        <v>0</v>
      </c>
      <c r="O16" s="269" t="s">
        <v>103</v>
      </c>
      <c r="P16" s="269">
        <v>8</v>
      </c>
      <c r="Q16" s="269"/>
      <c r="R16" s="269"/>
      <c r="S16" s="270"/>
      <c r="T16" s="269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44751</v>
      </c>
      <c r="E17" s="145"/>
      <c r="F17" s="145"/>
      <c r="G17" s="132">
        <f t="shared" si="0"/>
        <v>0</v>
      </c>
      <c r="H17" s="145"/>
      <c r="I17" s="145"/>
      <c r="J17" s="132">
        <f t="shared" si="1"/>
        <v>0</v>
      </c>
      <c r="K17" s="146">
        <v>8</v>
      </c>
      <c r="L17" s="210"/>
      <c r="M17" s="205"/>
      <c r="N17" s="250">
        <f t="shared" si="2"/>
        <v>0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44752</v>
      </c>
      <c r="E18" s="145"/>
      <c r="F18" s="145"/>
      <c r="G18" s="132">
        <f t="shared" si="0"/>
        <v>0</v>
      </c>
      <c r="H18" s="145"/>
      <c r="I18" s="145"/>
      <c r="J18" s="132">
        <f t="shared" si="1"/>
        <v>0</v>
      </c>
      <c r="K18" s="146">
        <v>8</v>
      </c>
      <c r="L18" s="210"/>
      <c r="M18" s="205"/>
      <c r="N18" s="250">
        <f t="shared" si="2"/>
        <v>0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28</v>
      </c>
      <c r="C19" s="206" t="s">
        <v>99</v>
      </c>
      <c r="D19" s="126">
        <v>44753</v>
      </c>
      <c r="E19" s="208">
        <v>0.32291666666666669</v>
      </c>
      <c r="F19" s="208">
        <v>0.51041666666666663</v>
      </c>
      <c r="G19" s="132">
        <f t="shared" si="0"/>
        <v>4.4999999999999982</v>
      </c>
      <c r="H19" s="208">
        <v>0.54166666666666663</v>
      </c>
      <c r="I19" s="208">
        <v>0.70833333333333337</v>
      </c>
      <c r="J19" s="132">
        <f t="shared" si="1"/>
        <v>4.0000000000000018</v>
      </c>
      <c r="K19" s="209">
        <v>8.5</v>
      </c>
      <c r="L19" s="210">
        <f t="shared" si="3"/>
        <v>8.5</v>
      </c>
      <c r="M19" s="211"/>
      <c r="N19" s="249">
        <f t="shared" si="2"/>
        <v>0</v>
      </c>
      <c r="O19" s="267" t="s">
        <v>72</v>
      </c>
      <c r="P19" s="266">
        <v>4.5</v>
      </c>
      <c r="Q19" s="266" t="s">
        <v>399</v>
      </c>
      <c r="R19" s="266">
        <v>4</v>
      </c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44754</v>
      </c>
      <c r="E20" s="127">
        <v>0.33333333333333331</v>
      </c>
      <c r="F20" s="127">
        <v>0.51041666666666663</v>
      </c>
      <c r="G20" s="227">
        <f t="shared" si="0"/>
        <v>4.25</v>
      </c>
      <c r="H20" s="127">
        <v>0.54166666666666663</v>
      </c>
      <c r="I20" s="127">
        <v>0.71875</v>
      </c>
      <c r="J20" s="227">
        <f t="shared" si="1"/>
        <v>4.2500000000000009</v>
      </c>
      <c r="K20" s="115">
        <v>8.5</v>
      </c>
      <c r="L20" s="147">
        <f t="shared" si="3"/>
        <v>8.5</v>
      </c>
      <c r="M20" s="205"/>
      <c r="N20" s="250">
        <f t="shared" si="2"/>
        <v>0</v>
      </c>
      <c r="O20" s="269" t="s">
        <v>72</v>
      </c>
      <c r="P20" s="269">
        <v>4.5</v>
      </c>
      <c r="Q20" s="269" t="s">
        <v>399</v>
      </c>
      <c r="R20" s="269">
        <v>4</v>
      </c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44755</v>
      </c>
      <c r="E21" s="208">
        <v>0.33333333333333331</v>
      </c>
      <c r="F21" s="208">
        <v>0.51041666666666663</v>
      </c>
      <c r="G21" s="132">
        <f t="shared" si="0"/>
        <v>4.25</v>
      </c>
      <c r="H21" s="208">
        <v>0.54166666666666663</v>
      </c>
      <c r="I21" s="208">
        <v>0.71875</v>
      </c>
      <c r="J21" s="132">
        <f t="shared" si="1"/>
        <v>4.2500000000000009</v>
      </c>
      <c r="K21" s="209">
        <v>8.5</v>
      </c>
      <c r="L21" s="210">
        <f t="shared" si="3"/>
        <v>8.5</v>
      </c>
      <c r="M21" s="211"/>
      <c r="N21" s="249">
        <f t="shared" si="2"/>
        <v>0</v>
      </c>
      <c r="O21" s="267" t="s">
        <v>72</v>
      </c>
      <c r="P21" s="266">
        <v>4.5</v>
      </c>
      <c r="Q21" s="266" t="s">
        <v>139</v>
      </c>
      <c r="R21" s="266">
        <v>4</v>
      </c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44756</v>
      </c>
      <c r="E22" s="127">
        <v>0.34375</v>
      </c>
      <c r="F22" s="127">
        <v>0.51041666666666663</v>
      </c>
      <c r="G22" s="227">
        <f t="shared" si="0"/>
        <v>3.9999999999999991</v>
      </c>
      <c r="H22" s="127">
        <v>0.55208333333333337</v>
      </c>
      <c r="I22" s="127">
        <v>0.73958333333333337</v>
      </c>
      <c r="J22" s="227">
        <f t="shared" si="1"/>
        <v>4.5</v>
      </c>
      <c r="K22" s="115">
        <v>8.5</v>
      </c>
      <c r="L22" s="147">
        <f t="shared" si="3"/>
        <v>8.5</v>
      </c>
      <c r="M22" s="205"/>
      <c r="N22" s="250">
        <f t="shared" si="2"/>
        <v>0</v>
      </c>
      <c r="O22" s="268" t="s">
        <v>72</v>
      </c>
      <c r="P22" s="269">
        <v>4.5</v>
      </c>
      <c r="Q22" s="269" t="s">
        <v>397</v>
      </c>
      <c r="R22" s="269">
        <v>4</v>
      </c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44757</v>
      </c>
      <c r="E23" s="208">
        <v>0.34375</v>
      </c>
      <c r="F23" s="208">
        <v>0.51041666666666663</v>
      </c>
      <c r="G23" s="132">
        <f t="shared" si="0"/>
        <v>3.9999999999999991</v>
      </c>
      <c r="H23" s="208">
        <v>0.54166666666666663</v>
      </c>
      <c r="I23" s="208">
        <v>0.70833333333333337</v>
      </c>
      <c r="J23" s="132">
        <f t="shared" si="1"/>
        <v>4.0000000000000018</v>
      </c>
      <c r="K23" s="209">
        <v>8</v>
      </c>
      <c r="L23" s="210">
        <f t="shared" si="3"/>
        <v>8</v>
      </c>
      <c r="M23" s="211"/>
      <c r="N23" s="249">
        <f t="shared" si="2"/>
        <v>0</v>
      </c>
      <c r="O23" s="267" t="s">
        <v>72</v>
      </c>
      <c r="P23" s="266">
        <v>4</v>
      </c>
      <c r="Q23" s="266" t="s">
        <v>139</v>
      </c>
      <c r="R23" s="266">
        <v>4</v>
      </c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44758</v>
      </c>
      <c r="E24" s="145"/>
      <c r="F24" s="145"/>
      <c r="G24" s="132">
        <f t="shared" si="0"/>
        <v>0</v>
      </c>
      <c r="H24" s="145"/>
      <c r="I24" s="145"/>
      <c r="J24" s="132">
        <f t="shared" si="1"/>
        <v>0</v>
      </c>
      <c r="K24" s="146">
        <v>8</v>
      </c>
      <c r="L24" s="210"/>
      <c r="M24" s="205"/>
      <c r="N24" s="250">
        <f t="shared" si="2"/>
        <v>0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44759</v>
      </c>
      <c r="E25" s="145"/>
      <c r="F25" s="145"/>
      <c r="G25" s="132">
        <f t="shared" si="0"/>
        <v>0</v>
      </c>
      <c r="H25" s="145"/>
      <c r="I25" s="145"/>
      <c r="J25" s="132">
        <f t="shared" si="1"/>
        <v>0</v>
      </c>
      <c r="K25" s="146">
        <v>8</v>
      </c>
      <c r="L25" s="210"/>
      <c r="M25" s="205"/>
      <c r="N25" s="250">
        <f t="shared" si="2"/>
        <v>0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29</v>
      </c>
      <c r="C26" s="125" t="s">
        <v>99</v>
      </c>
      <c r="D26" s="126">
        <v>44760</v>
      </c>
      <c r="E26" s="127">
        <v>0.35416666666666669</v>
      </c>
      <c r="F26" s="127">
        <v>0.51041666666666663</v>
      </c>
      <c r="G26" s="227">
        <f t="shared" si="0"/>
        <v>3.7499999999999987</v>
      </c>
      <c r="H26" s="127">
        <v>0.54166666666666663</v>
      </c>
      <c r="I26" s="127">
        <v>0.72916666666666663</v>
      </c>
      <c r="J26" s="227">
        <f t="shared" si="1"/>
        <v>4.5</v>
      </c>
      <c r="K26" s="115">
        <v>8.5</v>
      </c>
      <c r="L26" s="147">
        <f t="shared" si="3"/>
        <v>8.2499999999999964</v>
      </c>
      <c r="M26" s="205"/>
      <c r="N26" s="250">
        <f t="shared" si="2"/>
        <v>-0.25000000000000355</v>
      </c>
      <c r="O26" s="268" t="s">
        <v>72</v>
      </c>
      <c r="P26" s="269">
        <v>4.5</v>
      </c>
      <c r="Q26" s="269" t="s">
        <v>139</v>
      </c>
      <c r="R26" s="269">
        <v>3.75</v>
      </c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44761</v>
      </c>
      <c r="E27" s="208">
        <v>0.32291666666666669</v>
      </c>
      <c r="F27" s="208">
        <v>0.5</v>
      </c>
      <c r="G27" s="132">
        <f>(F27-E27)*24</f>
        <v>4.25</v>
      </c>
      <c r="H27" s="208">
        <v>0.54166666666666663</v>
      </c>
      <c r="I27" s="208">
        <v>0.72916666666666663</v>
      </c>
      <c r="J27" s="132">
        <f t="shared" si="1"/>
        <v>4.5</v>
      </c>
      <c r="K27" s="209">
        <v>8.5</v>
      </c>
      <c r="L27" s="210">
        <f t="shared" si="3"/>
        <v>8.75</v>
      </c>
      <c r="M27" s="211"/>
      <c r="N27" s="249">
        <f t="shared" si="2"/>
        <v>-3.5527136788005009E-15</v>
      </c>
      <c r="O27" s="267" t="s">
        <v>72</v>
      </c>
      <c r="P27" s="266">
        <v>4.5</v>
      </c>
      <c r="Q27" s="266" t="s">
        <v>139</v>
      </c>
      <c r="R27" s="266">
        <v>4.25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44762</v>
      </c>
      <c r="E28" s="127">
        <v>0.34375</v>
      </c>
      <c r="F28" s="127">
        <v>0.51041666666666663</v>
      </c>
      <c r="G28" s="227">
        <f t="shared" si="0"/>
        <v>3.9999999999999991</v>
      </c>
      <c r="H28" s="127">
        <v>0.54166666666666663</v>
      </c>
      <c r="I28" s="127">
        <v>0.72916666666666663</v>
      </c>
      <c r="J28" s="227">
        <f t="shared" si="1"/>
        <v>4.5</v>
      </c>
      <c r="K28" s="115">
        <v>8.5</v>
      </c>
      <c r="L28" s="147">
        <f t="shared" si="3"/>
        <v>8.5</v>
      </c>
      <c r="M28" s="205"/>
      <c r="N28" s="250">
        <f t="shared" si="2"/>
        <v>-3.5527136788005009E-15</v>
      </c>
      <c r="O28" s="268" t="s">
        <v>72</v>
      </c>
      <c r="P28" s="269">
        <v>4.5</v>
      </c>
      <c r="Q28" s="269" t="s">
        <v>397</v>
      </c>
      <c r="R28" s="269">
        <v>4</v>
      </c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44763</v>
      </c>
      <c r="E29" s="208">
        <v>0.34375</v>
      </c>
      <c r="F29" s="208">
        <v>0.51041666666666663</v>
      </c>
      <c r="G29" s="132">
        <f t="shared" si="0"/>
        <v>3.9999999999999991</v>
      </c>
      <c r="H29" s="208">
        <v>0.54166666666666663</v>
      </c>
      <c r="I29" s="208">
        <v>0.72916666666666663</v>
      </c>
      <c r="J29" s="132">
        <f t="shared" si="1"/>
        <v>4.5</v>
      </c>
      <c r="K29" s="209">
        <v>8.5</v>
      </c>
      <c r="L29" s="210">
        <f t="shared" si="3"/>
        <v>8.5</v>
      </c>
      <c r="M29" s="211"/>
      <c r="N29" s="249">
        <f t="shared" si="2"/>
        <v>-3.5527136788005009E-15</v>
      </c>
      <c r="O29" s="267" t="s">
        <v>72</v>
      </c>
      <c r="P29" s="266">
        <v>4.5</v>
      </c>
      <c r="Q29" s="266" t="s">
        <v>397</v>
      </c>
      <c r="R29" s="266">
        <v>4</v>
      </c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44764</v>
      </c>
      <c r="E30" s="127">
        <v>0.34375</v>
      </c>
      <c r="F30" s="127">
        <v>0.51041666666666663</v>
      </c>
      <c r="G30" s="227">
        <f t="shared" si="0"/>
        <v>3.9999999999999991</v>
      </c>
      <c r="H30" s="127">
        <v>0.5625</v>
      </c>
      <c r="I30" s="127">
        <v>0.72916666666666663</v>
      </c>
      <c r="J30" s="227">
        <f t="shared" si="1"/>
        <v>3.9999999999999991</v>
      </c>
      <c r="K30" s="115">
        <v>8</v>
      </c>
      <c r="L30" s="147">
        <f t="shared" si="3"/>
        <v>7.9999999999999982</v>
      </c>
      <c r="M30" s="205"/>
      <c r="N30" s="250">
        <f t="shared" si="2"/>
        <v>-5.3290705182007514E-15</v>
      </c>
      <c r="O30" s="268" t="s">
        <v>72</v>
      </c>
      <c r="P30" s="269">
        <v>4</v>
      </c>
      <c r="Q30" s="269" t="s">
        <v>139</v>
      </c>
      <c r="R30" s="269">
        <v>4</v>
      </c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44765</v>
      </c>
      <c r="E31" s="145"/>
      <c r="F31" s="145"/>
      <c r="G31" s="132">
        <f t="shared" si="0"/>
        <v>0</v>
      </c>
      <c r="H31" s="145"/>
      <c r="I31" s="145"/>
      <c r="J31" s="227">
        <f t="shared" si="1"/>
        <v>0</v>
      </c>
      <c r="K31" s="146">
        <v>8</v>
      </c>
      <c r="L31" s="210"/>
      <c r="M31" s="205"/>
      <c r="N31" s="250">
        <f t="shared" si="2"/>
        <v>-5.3290705182007514E-15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44766</v>
      </c>
      <c r="E32" s="145"/>
      <c r="F32" s="145"/>
      <c r="G32" s="132">
        <f t="shared" si="0"/>
        <v>0</v>
      </c>
      <c r="H32" s="145"/>
      <c r="I32" s="145"/>
      <c r="J32" s="132">
        <f t="shared" si="1"/>
        <v>0</v>
      </c>
      <c r="K32" s="146">
        <v>8</v>
      </c>
      <c r="L32" s="210"/>
      <c r="M32" s="205"/>
      <c r="N32" s="250">
        <f t="shared" si="2"/>
        <v>-5.3290705182007514E-15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30</v>
      </c>
      <c r="C33" s="206" t="s">
        <v>99</v>
      </c>
      <c r="D33" s="126">
        <v>44767</v>
      </c>
      <c r="E33" s="208"/>
      <c r="F33" s="208"/>
      <c r="G33" s="132">
        <f t="shared" si="0"/>
        <v>0</v>
      </c>
      <c r="H33" s="208"/>
      <c r="I33" s="208">
        <v>0.35416666666666669</v>
      </c>
      <c r="J33" s="132">
        <f t="shared" si="1"/>
        <v>8.5</v>
      </c>
      <c r="K33" s="209">
        <v>8.5</v>
      </c>
      <c r="L33" s="210">
        <f t="shared" si="3"/>
        <v>8.5</v>
      </c>
      <c r="M33" s="211"/>
      <c r="N33" s="249">
        <f t="shared" si="2"/>
        <v>-5.3290705182007514E-15</v>
      </c>
      <c r="O33" s="267" t="s">
        <v>103</v>
      </c>
      <c r="P33" s="266">
        <v>8.5</v>
      </c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44768</v>
      </c>
      <c r="E34" s="127"/>
      <c r="F34" s="282"/>
      <c r="G34" s="227">
        <f t="shared" si="0"/>
        <v>0</v>
      </c>
      <c r="H34" s="282"/>
      <c r="I34" s="282">
        <v>0.35416666666666669</v>
      </c>
      <c r="J34" s="227">
        <f t="shared" si="1"/>
        <v>8.5</v>
      </c>
      <c r="K34" s="115">
        <v>8.5</v>
      </c>
      <c r="L34" s="147">
        <f t="shared" si="3"/>
        <v>8.5</v>
      </c>
      <c r="M34" s="205"/>
      <c r="N34" s="250">
        <f t="shared" si="2"/>
        <v>-5.3290705182007514E-15</v>
      </c>
      <c r="O34" s="268" t="s">
        <v>103</v>
      </c>
      <c r="P34" s="269">
        <v>8.5</v>
      </c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44769</v>
      </c>
      <c r="E35" s="337"/>
      <c r="F35" s="337"/>
      <c r="G35" s="444">
        <f t="shared" si="0"/>
        <v>0</v>
      </c>
      <c r="H35" s="337"/>
      <c r="I35" s="337">
        <v>0.35416666666666669</v>
      </c>
      <c r="J35" s="132">
        <f t="shared" si="1"/>
        <v>8.5</v>
      </c>
      <c r="K35" s="221">
        <v>8.5</v>
      </c>
      <c r="L35" s="210">
        <f t="shared" si="3"/>
        <v>8.5</v>
      </c>
      <c r="M35" s="211"/>
      <c r="N35" s="249">
        <f>IF(L35&gt;0,(L35-K35)+N34,+N34)</f>
        <v>-5.3290705182007514E-15</v>
      </c>
      <c r="O35" s="267" t="s">
        <v>103</v>
      </c>
      <c r="P35" s="266">
        <v>8.5</v>
      </c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44770</v>
      </c>
      <c r="E36" s="445"/>
      <c r="F36" s="443"/>
      <c r="G36" s="446">
        <f t="shared" si="0"/>
        <v>0</v>
      </c>
      <c r="H36" s="443"/>
      <c r="I36" s="443">
        <v>0.35416666666666669</v>
      </c>
      <c r="J36" s="227">
        <f t="shared" si="1"/>
        <v>8.5</v>
      </c>
      <c r="K36" s="115">
        <v>8.5</v>
      </c>
      <c r="L36" s="147">
        <f t="shared" si="3"/>
        <v>8.5</v>
      </c>
      <c r="M36" s="205"/>
      <c r="N36" s="250">
        <f>IF(L36&gt;0,(L36-K36)+N35,+N35)</f>
        <v>-5.3290705182007514E-15</v>
      </c>
      <c r="O36" s="268" t="s">
        <v>103</v>
      </c>
      <c r="P36" s="269">
        <v>8.5</v>
      </c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44771</v>
      </c>
      <c r="E37" s="337"/>
      <c r="F37" s="337"/>
      <c r="G37" s="444">
        <f t="shared" si="0"/>
        <v>0</v>
      </c>
      <c r="H37" s="337"/>
      <c r="I37" s="337">
        <v>0.33333333333333331</v>
      </c>
      <c r="J37" s="132">
        <f t="shared" si="1"/>
        <v>8</v>
      </c>
      <c r="K37" s="221">
        <v>8</v>
      </c>
      <c r="L37" s="210">
        <f t="shared" si="3"/>
        <v>8</v>
      </c>
      <c r="M37" s="222"/>
      <c r="N37" s="249">
        <f>IF(L37&gt;0,(L37-K37)+N36,+N36)</f>
        <v>-5.3290705182007514E-15</v>
      </c>
      <c r="O37" s="276" t="s">
        <v>103</v>
      </c>
      <c r="P37" s="277">
        <v>8</v>
      </c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176</v>
      </c>
      <c r="M38" s="135"/>
      <c r="N38" s="135"/>
      <c r="O38" s="135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176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28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20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61.5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8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58.5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C56" s="138"/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7" x14ac:dyDescent="0.25">
      <c r="C65" s="138"/>
    </row>
    <row r="66" spans="3:7" x14ac:dyDescent="0.25">
      <c r="C66" s="138"/>
    </row>
    <row r="67" spans="3:7" x14ac:dyDescent="0.25">
      <c r="C67" s="138"/>
      <c r="D67" s="284"/>
      <c r="E67" s="284"/>
      <c r="F67" s="284"/>
      <c r="G67" s="284"/>
    </row>
    <row r="68" spans="3:7" x14ac:dyDescent="0.25">
      <c r="C68" s="138"/>
    </row>
    <row r="75" spans="3:7" x14ac:dyDescent="0.25">
      <c r="D75" s="142"/>
    </row>
    <row r="76" spans="3:7" x14ac:dyDescent="0.25">
      <c r="C76" s="138"/>
      <c r="D76" s="284"/>
    </row>
    <row r="77" spans="3:7" x14ac:dyDescent="0.25">
      <c r="C77" s="138"/>
    </row>
    <row r="84" spans="4:9" x14ac:dyDescent="0.25">
      <c r="D84" s="142"/>
    </row>
    <row r="85" spans="4:9" x14ac:dyDescent="0.25">
      <c r="D85" s="142"/>
    </row>
    <row r="86" spans="4:9" x14ac:dyDescent="0.25">
      <c r="D86" s="142"/>
    </row>
    <row r="87" spans="4:9" x14ac:dyDescent="0.25">
      <c r="D87" s="142"/>
    </row>
    <row r="88" spans="4:9" x14ac:dyDescent="0.25">
      <c r="D88" s="142"/>
    </row>
    <row r="89" spans="4:9" x14ac:dyDescent="0.25">
      <c r="D89" s="142"/>
    </row>
    <row r="90" spans="4:9" x14ac:dyDescent="0.25">
      <c r="D90" s="142"/>
    </row>
    <row r="91" spans="4:9" x14ac:dyDescent="0.25">
      <c r="D91" s="142"/>
    </row>
    <row r="92" spans="4:9" x14ac:dyDescent="0.25">
      <c r="D92" s="142"/>
      <c r="G92" s="140"/>
    </row>
    <row r="93" spans="4:9" x14ac:dyDescent="0.25">
      <c r="D93" s="140"/>
      <c r="G93" s="140"/>
    </row>
    <row r="94" spans="4:9" x14ac:dyDescent="0.25">
      <c r="D94" s="140"/>
      <c r="E94" s="336"/>
    </row>
    <row r="95" spans="4:9" x14ac:dyDescent="0.25">
      <c r="D95" s="140"/>
      <c r="E95" s="336"/>
      <c r="G95" s="336"/>
      <c r="I95" s="336"/>
    </row>
    <row r="96" spans="4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23" priority="2">
      <formula>D5=TODAY()</formula>
    </cfRule>
    <cfRule type="expression" dxfId="22" priority="3">
      <formula>D5&lt;TODAY()</formula>
    </cfRule>
  </conditionalFormatting>
  <conditionalFormatting sqref="G1">
    <cfRule type="expression" dxfId="21" priority="1">
      <formula>$F$1=$E$1</formula>
    </cfRule>
  </conditionalFormatting>
  <dataValidations disablePrompts="1" count="1">
    <dataValidation type="list" allowBlank="1" showInputMessage="1" showErrorMessage="1" sqref="E38 G38" xr:uid="{00000000-0002-0000-16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5">
    <tabColor theme="5" tint="0.59999389629810485"/>
    <pageSetUpPr fitToPage="1"/>
  </sheetPr>
  <dimension ref="A1:AT1048576"/>
  <sheetViews>
    <sheetView showZeros="0" showRuler="0" topLeftCell="D6" zoomScale="115" zoomScaleNormal="115" zoomScaleSheetLayoutView="100" zoomScalePageLayoutView="70" workbookViewId="0">
      <selection activeCell="P41" sqref="P41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185</v>
      </c>
    </row>
    <row r="5" spans="1:46" ht="16.350000000000001" customHeight="1" thickTop="1" thickBot="1" x14ac:dyDescent="0.35">
      <c r="B5" s="487">
        <f>_xlfn.ISOWEEKNUM(D5)</f>
        <v>31</v>
      </c>
      <c r="C5" s="229" t="s">
        <v>99</v>
      </c>
      <c r="D5" s="126">
        <v>44774</v>
      </c>
      <c r="E5" s="231"/>
      <c r="F5" s="231"/>
      <c r="G5" s="232">
        <f>(F5-E5)*24</f>
        <v>0</v>
      </c>
      <c r="H5" s="231"/>
      <c r="I5" s="231">
        <v>0.35416666666666669</v>
      </c>
      <c r="J5" s="232">
        <f>(I5-H5)*24</f>
        <v>8.5</v>
      </c>
      <c r="K5" s="233">
        <v>8.5</v>
      </c>
      <c r="L5" s="210">
        <f t="shared" ref="L5:L8" si="0">(F5-E5+I5-H5)*24</f>
        <v>8.5</v>
      </c>
      <c r="M5" s="211"/>
      <c r="N5" s="249">
        <f t="shared" ref="N5:N34" si="1">IF(L5&gt;0,(L5-K5)+N4,+N4)</f>
        <v>0</v>
      </c>
      <c r="O5" s="267" t="s">
        <v>103</v>
      </c>
      <c r="P5" s="266">
        <v>8.5</v>
      </c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44775</v>
      </c>
      <c r="E6" s="127"/>
      <c r="F6" s="282"/>
      <c r="G6" s="227">
        <f t="shared" ref="G6:G37" si="2">(F6-E6)*24</f>
        <v>0</v>
      </c>
      <c r="H6" s="282"/>
      <c r="I6" s="127">
        <v>0.35416666666666669</v>
      </c>
      <c r="J6" s="227">
        <f t="shared" ref="J6:J37" si="3">(I6-H6)*24</f>
        <v>8.5</v>
      </c>
      <c r="K6" s="115">
        <v>8.5</v>
      </c>
      <c r="L6" s="210">
        <f t="shared" si="0"/>
        <v>8.5</v>
      </c>
      <c r="M6" s="205"/>
      <c r="N6" s="249">
        <f t="shared" si="1"/>
        <v>0</v>
      </c>
      <c r="O6" s="268" t="s">
        <v>103</v>
      </c>
      <c r="P6" s="269">
        <v>8.5</v>
      </c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44776</v>
      </c>
      <c r="E7" s="208"/>
      <c r="F7" s="208"/>
      <c r="G7" s="132">
        <f t="shared" si="2"/>
        <v>0</v>
      </c>
      <c r="H7" s="208"/>
      <c r="I7" s="208">
        <v>0.35416666666666669</v>
      </c>
      <c r="J7" s="132">
        <f t="shared" si="3"/>
        <v>8.5</v>
      </c>
      <c r="K7" s="209">
        <v>8.5</v>
      </c>
      <c r="L7" s="210">
        <f t="shared" si="0"/>
        <v>8.5</v>
      </c>
      <c r="M7" s="211"/>
      <c r="N7" s="249">
        <f t="shared" si="1"/>
        <v>0</v>
      </c>
      <c r="O7" s="267" t="s">
        <v>103</v>
      </c>
      <c r="P7" s="266">
        <v>8.5</v>
      </c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44777</v>
      </c>
      <c r="E8" s="127"/>
      <c r="F8" s="282"/>
      <c r="G8" s="227">
        <f t="shared" si="2"/>
        <v>0</v>
      </c>
      <c r="H8" s="282"/>
      <c r="I8" s="127">
        <v>0.35416666666666669</v>
      </c>
      <c r="J8" s="227">
        <f t="shared" si="3"/>
        <v>8.5</v>
      </c>
      <c r="K8" s="115">
        <v>8.5</v>
      </c>
      <c r="L8" s="210">
        <f t="shared" si="0"/>
        <v>8.5</v>
      </c>
      <c r="M8" s="205"/>
      <c r="N8" s="249">
        <f t="shared" si="1"/>
        <v>0</v>
      </c>
      <c r="O8" s="268" t="s">
        <v>103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1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44778</v>
      </c>
      <c r="E9" s="208"/>
      <c r="F9" s="208"/>
      <c r="G9" s="132">
        <f t="shared" si="2"/>
        <v>0</v>
      </c>
      <c r="H9" s="208"/>
      <c r="I9" s="208">
        <v>0.33333333333333331</v>
      </c>
      <c r="J9" s="132">
        <f t="shared" si="3"/>
        <v>8</v>
      </c>
      <c r="K9" s="209">
        <v>8</v>
      </c>
      <c r="L9" s="210">
        <f t="shared" ref="L9:L37" si="4">(F9-E9+I9-H9)*24</f>
        <v>8</v>
      </c>
      <c r="M9" s="211"/>
      <c r="N9" s="249">
        <f t="shared" si="1"/>
        <v>0</v>
      </c>
      <c r="O9" s="276" t="s">
        <v>103</v>
      </c>
      <c r="P9" s="277">
        <v>8</v>
      </c>
      <c r="Q9" s="277"/>
      <c r="R9" s="277"/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44779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/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44780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/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32</v>
      </c>
      <c r="C12" s="125" t="s">
        <v>99</v>
      </c>
      <c r="D12" s="126">
        <v>44781</v>
      </c>
      <c r="E12" s="127">
        <v>0.3125</v>
      </c>
      <c r="F12" s="127">
        <v>0.51041666666666663</v>
      </c>
      <c r="G12" s="227">
        <f t="shared" si="2"/>
        <v>4.7499999999999991</v>
      </c>
      <c r="H12" s="127">
        <v>0.55208333333333337</v>
      </c>
      <c r="I12" s="127">
        <v>0.72916666666666663</v>
      </c>
      <c r="J12" s="227">
        <f t="shared" si="3"/>
        <v>4.2499999999999982</v>
      </c>
      <c r="K12" s="115">
        <v>8.5</v>
      </c>
      <c r="L12" s="147">
        <f t="shared" si="4"/>
        <v>8.9999999999999964</v>
      </c>
      <c r="M12" s="205"/>
      <c r="N12" s="250">
        <f t="shared" si="1"/>
        <v>0.49999999999999645</v>
      </c>
      <c r="O12" s="268" t="s">
        <v>72</v>
      </c>
      <c r="P12" s="269">
        <v>4.5</v>
      </c>
      <c r="Q12" s="269" t="s">
        <v>300</v>
      </c>
      <c r="R12" s="269">
        <v>4.5</v>
      </c>
      <c r="S12" s="269" t="s">
        <v>415</v>
      </c>
      <c r="T12" s="269" t="s">
        <v>413</v>
      </c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44782</v>
      </c>
      <c r="E13" s="208">
        <v>0.32291666666666669</v>
      </c>
      <c r="F13" s="208">
        <v>0.5</v>
      </c>
      <c r="G13" s="132">
        <f t="shared" si="2"/>
        <v>4.25</v>
      </c>
      <c r="H13" s="208">
        <v>0.55208333333333337</v>
      </c>
      <c r="I13" s="208">
        <v>0.72916666666666663</v>
      </c>
      <c r="J13" s="132">
        <f t="shared" si="3"/>
        <v>4.2499999999999982</v>
      </c>
      <c r="K13" s="209">
        <v>8.5</v>
      </c>
      <c r="L13" s="210">
        <f t="shared" si="4"/>
        <v>8.5</v>
      </c>
      <c r="M13" s="211"/>
      <c r="N13" s="249">
        <f t="shared" si="1"/>
        <v>0.49999999999999645</v>
      </c>
      <c r="O13" s="267" t="s">
        <v>72</v>
      </c>
      <c r="P13" s="266">
        <v>4.5</v>
      </c>
      <c r="Q13" s="266" t="s">
        <v>300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44783</v>
      </c>
      <c r="E14" s="127">
        <v>0.32291666666666669</v>
      </c>
      <c r="F14" s="127">
        <v>0.51041666666666663</v>
      </c>
      <c r="G14" s="227">
        <f t="shared" si="2"/>
        <v>4.4999999999999982</v>
      </c>
      <c r="H14" s="127">
        <v>0.54166666666666663</v>
      </c>
      <c r="I14" s="127">
        <v>0.70833333333333337</v>
      </c>
      <c r="J14" s="227">
        <f t="shared" si="3"/>
        <v>4.0000000000000018</v>
      </c>
      <c r="K14" s="115">
        <v>8.5</v>
      </c>
      <c r="L14" s="147">
        <f t="shared" si="4"/>
        <v>8.5</v>
      </c>
      <c r="M14" s="205"/>
      <c r="N14" s="250">
        <f t="shared" si="1"/>
        <v>0.49999999999999645</v>
      </c>
      <c r="O14" s="268" t="s">
        <v>72</v>
      </c>
      <c r="P14" s="269">
        <v>4.5</v>
      </c>
      <c r="Q14" s="269" t="s">
        <v>139</v>
      </c>
      <c r="R14" s="269">
        <v>4</v>
      </c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44784</v>
      </c>
      <c r="E15" s="208">
        <v>0.32291666666666669</v>
      </c>
      <c r="F15" s="208">
        <v>0.51041666666666663</v>
      </c>
      <c r="G15" s="132">
        <f t="shared" si="2"/>
        <v>4.4999999999999982</v>
      </c>
      <c r="H15" s="208">
        <v>0.54166666666666663</v>
      </c>
      <c r="I15" s="208">
        <v>0.70833333333333337</v>
      </c>
      <c r="J15" s="132">
        <f t="shared" si="3"/>
        <v>4.0000000000000018</v>
      </c>
      <c r="K15" s="209">
        <v>8.5</v>
      </c>
      <c r="L15" s="210">
        <f t="shared" si="4"/>
        <v>8.5</v>
      </c>
      <c r="M15" s="211"/>
      <c r="N15" s="249">
        <f t="shared" si="1"/>
        <v>0.49999999999999645</v>
      </c>
      <c r="O15" s="266" t="s">
        <v>72</v>
      </c>
      <c r="P15" s="266">
        <v>4.5</v>
      </c>
      <c r="Q15" s="266" t="s">
        <v>139</v>
      </c>
      <c r="R15" s="266">
        <v>4</v>
      </c>
      <c r="S15" s="265"/>
      <c r="T15" s="266"/>
      <c r="U15" s="326"/>
      <c r="V15" s="215"/>
      <c r="W15" s="214"/>
      <c r="X15" s="216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44785</v>
      </c>
      <c r="E16" s="127">
        <v>0.32291666666666669</v>
      </c>
      <c r="F16" s="127">
        <v>0.51041666666666663</v>
      </c>
      <c r="G16" s="227">
        <f t="shared" si="2"/>
        <v>4.4999999999999982</v>
      </c>
      <c r="H16" s="127">
        <v>0.54166666666666663</v>
      </c>
      <c r="I16" s="127">
        <v>0.66666666666666663</v>
      </c>
      <c r="J16" s="227">
        <f t="shared" si="3"/>
        <v>3</v>
      </c>
      <c r="K16" s="115">
        <v>8</v>
      </c>
      <c r="L16" s="147">
        <f t="shared" si="4"/>
        <v>7.4999999999999973</v>
      </c>
      <c r="M16" s="205"/>
      <c r="N16" s="250">
        <f t="shared" si="1"/>
        <v>-6.2172489379008766E-15</v>
      </c>
      <c r="O16" s="269" t="s">
        <v>72</v>
      </c>
      <c r="P16" s="269">
        <v>4</v>
      </c>
      <c r="Q16" s="269" t="s">
        <v>300</v>
      </c>
      <c r="R16" s="269">
        <v>3.5</v>
      </c>
      <c r="S16" s="269" t="s">
        <v>416</v>
      </c>
      <c r="T16" s="270" t="s">
        <v>414</v>
      </c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44786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/>
      <c r="M17" s="205"/>
      <c r="N17" s="250">
        <f t="shared" si="1"/>
        <v>-6.2172489379008766E-15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44787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/>
      <c r="M18" s="205"/>
      <c r="N18" s="250">
        <f t="shared" si="1"/>
        <v>-6.2172489379008766E-15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33</v>
      </c>
      <c r="C19" s="206" t="s">
        <v>99</v>
      </c>
      <c r="D19" s="126">
        <v>44788</v>
      </c>
      <c r="E19" s="208">
        <v>0.32291666666666669</v>
      </c>
      <c r="F19" s="208">
        <v>0.51041666666666663</v>
      </c>
      <c r="G19" s="132">
        <f t="shared" si="2"/>
        <v>4.4999999999999982</v>
      </c>
      <c r="H19" s="208">
        <v>0.55208333333333337</v>
      </c>
      <c r="I19" s="208">
        <v>0.71875</v>
      </c>
      <c r="J19" s="132">
        <f t="shared" si="3"/>
        <v>3.9999999999999991</v>
      </c>
      <c r="K19" s="209">
        <v>8.5</v>
      </c>
      <c r="L19" s="210">
        <f t="shared" si="4"/>
        <v>8.5</v>
      </c>
      <c r="M19" s="211"/>
      <c r="N19" s="249">
        <f t="shared" si="1"/>
        <v>-6.2172489379008766E-15</v>
      </c>
      <c r="O19" s="267" t="s">
        <v>72</v>
      </c>
      <c r="P19" s="266">
        <v>4.5</v>
      </c>
      <c r="Q19" s="266"/>
      <c r="R19" s="266"/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44789</v>
      </c>
      <c r="E20" s="127">
        <v>0.32291666666666669</v>
      </c>
      <c r="F20" s="127">
        <v>0.51041666666666663</v>
      </c>
      <c r="G20" s="227">
        <f t="shared" si="2"/>
        <v>4.4999999999999982</v>
      </c>
      <c r="H20" s="127">
        <v>0.55208333333333337</v>
      </c>
      <c r="I20" s="127">
        <v>0.71875</v>
      </c>
      <c r="J20" s="227">
        <f t="shared" si="3"/>
        <v>3.9999999999999991</v>
      </c>
      <c r="K20" s="115">
        <v>8.5</v>
      </c>
      <c r="L20" s="147">
        <f t="shared" si="4"/>
        <v>8.5</v>
      </c>
      <c r="M20" s="205"/>
      <c r="N20" s="250">
        <f t="shared" si="1"/>
        <v>-6.2172489379008766E-15</v>
      </c>
      <c r="O20" s="269" t="s">
        <v>72</v>
      </c>
      <c r="P20" s="269">
        <v>4.5</v>
      </c>
      <c r="Q20" s="269"/>
      <c r="R20" s="269"/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44790</v>
      </c>
      <c r="E21" s="208">
        <v>0.32291666666666669</v>
      </c>
      <c r="F21" s="208">
        <v>0.51041666666666663</v>
      </c>
      <c r="G21" s="132">
        <f t="shared" si="2"/>
        <v>4.4999999999999982</v>
      </c>
      <c r="H21" s="208">
        <v>0.54166666666666663</v>
      </c>
      <c r="I21" s="208">
        <v>0.70833333333333337</v>
      </c>
      <c r="J21" s="132">
        <f t="shared" si="3"/>
        <v>4.0000000000000018</v>
      </c>
      <c r="K21" s="209">
        <v>8.5</v>
      </c>
      <c r="L21" s="210">
        <f t="shared" si="4"/>
        <v>8.5</v>
      </c>
      <c r="M21" s="211"/>
      <c r="N21" s="249">
        <f t="shared" si="1"/>
        <v>-6.2172489379008766E-15</v>
      </c>
      <c r="O21" s="267" t="s">
        <v>72</v>
      </c>
      <c r="P21" s="266">
        <v>4.5</v>
      </c>
      <c r="Q21" s="266"/>
      <c r="R21" s="266"/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44791</v>
      </c>
      <c r="E22" s="127">
        <v>0.32291666666666669</v>
      </c>
      <c r="F22" s="127">
        <v>0.51041666666666663</v>
      </c>
      <c r="G22" s="227">
        <f t="shared" si="2"/>
        <v>4.4999999999999982</v>
      </c>
      <c r="H22" s="127">
        <v>0.54166666666666663</v>
      </c>
      <c r="I22" s="127">
        <v>0.70833333333333337</v>
      </c>
      <c r="J22" s="227">
        <f t="shared" si="3"/>
        <v>4.0000000000000018</v>
      </c>
      <c r="K22" s="115">
        <v>8.5</v>
      </c>
      <c r="L22" s="147">
        <f t="shared" si="4"/>
        <v>8.5</v>
      </c>
      <c r="M22" s="205"/>
      <c r="N22" s="250">
        <f t="shared" si="1"/>
        <v>-6.2172489379008766E-15</v>
      </c>
      <c r="O22" s="268" t="s">
        <v>72</v>
      </c>
      <c r="P22" s="269">
        <v>4.5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44792</v>
      </c>
      <c r="E23" s="208">
        <v>0.33333333333333331</v>
      </c>
      <c r="F23" s="208">
        <v>0.51041666666666663</v>
      </c>
      <c r="G23" s="132">
        <f t="shared" si="2"/>
        <v>4.25</v>
      </c>
      <c r="H23" s="208">
        <v>0.55208333333333337</v>
      </c>
      <c r="I23" s="208">
        <v>0.70833333333333337</v>
      </c>
      <c r="J23" s="132">
        <f t="shared" si="3"/>
        <v>3.75</v>
      </c>
      <c r="K23" s="209">
        <v>8</v>
      </c>
      <c r="L23" s="210">
        <f t="shared" si="4"/>
        <v>8</v>
      </c>
      <c r="M23" s="211"/>
      <c r="N23" s="249">
        <f t="shared" si="1"/>
        <v>-6.2172489379008766E-15</v>
      </c>
      <c r="O23" s="267" t="s">
        <v>72</v>
      </c>
      <c r="P23" s="266">
        <v>4.5</v>
      </c>
      <c r="Q23" s="266"/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44793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/>
      <c r="M24" s="205"/>
      <c r="N24" s="249">
        <f t="shared" si="1"/>
        <v>-6.2172489379008766E-15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44794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/>
      <c r="M25" s="205"/>
      <c r="N25" s="249">
        <f t="shared" si="1"/>
        <v>-6.2172489379008766E-15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34</v>
      </c>
      <c r="C26" s="125" t="s">
        <v>99</v>
      </c>
      <c r="D26" s="126">
        <v>44795</v>
      </c>
      <c r="E26" s="127">
        <v>0.42708333333333331</v>
      </c>
      <c r="F26" s="127">
        <v>0.51041666666666663</v>
      </c>
      <c r="G26" s="227">
        <f t="shared" si="2"/>
        <v>1.9999999999999996</v>
      </c>
      <c r="H26" s="127">
        <v>0.54166666666666663</v>
      </c>
      <c r="I26" s="127">
        <v>0.75</v>
      </c>
      <c r="J26" s="227">
        <f t="shared" si="3"/>
        <v>5.0000000000000009</v>
      </c>
      <c r="K26" s="115">
        <v>8.5</v>
      </c>
      <c r="L26" s="147">
        <f t="shared" si="4"/>
        <v>6.9999999999999991</v>
      </c>
      <c r="M26" s="205"/>
      <c r="N26" s="250">
        <f t="shared" si="1"/>
        <v>-1.5000000000000071</v>
      </c>
      <c r="O26" s="268" t="s">
        <v>72</v>
      </c>
      <c r="P26" s="269">
        <v>4.5</v>
      </c>
      <c r="Q26" s="269"/>
      <c r="R26" s="269"/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44796</v>
      </c>
      <c r="E27" s="208">
        <v>0.32291666666666669</v>
      </c>
      <c r="F27" s="208">
        <v>0.51041666666666663</v>
      </c>
      <c r="G27" s="132">
        <f>(F27-E27)*24</f>
        <v>4.4999999999999982</v>
      </c>
      <c r="H27" s="208">
        <v>0.54166666666666663</v>
      </c>
      <c r="I27" s="208">
        <v>0.72916666666666663</v>
      </c>
      <c r="J27" s="132">
        <f t="shared" si="3"/>
        <v>4.5</v>
      </c>
      <c r="K27" s="209">
        <v>8.5</v>
      </c>
      <c r="L27" s="210">
        <f t="shared" si="4"/>
        <v>8.9999999999999964</v>
      </c>
      <c r="M27" s="211"/>
      <c r="N27" s="249">
        <f t="shared" si="1"/>
        <v>-1.0000000000000107</v>
      </c>
      <c r="O27" s="267" t="s">
        <v>72</v>
      </c>
      <c r="P27" s="266">
        <v>4.5</v>
      </c>
      <c r="Q27" s="266"/>
      <c r="R27" s="266"/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44797</v>
      </c>
      <c r="E28" s="127">
        <v>0.33333333333333331</v>
      </c>
      <c r="F28" s="127">
        <v>0.51041666666666663</v>
      </c>
      <c r="G28" s="227">
        <f t="shared" si="2"/>
        <v>4.25</v>
      </c>
      <c r="H28" s="127">
        <v>0.54166666666666663</v>
      </c>
      <c r="I28" s="127">
        <v>0.73958333333333337</v>
      </c>
      <c r="J28" s="227">
        <f t="shared" si="3"/>
        <v>4.7500000000000018</v>
      </c>
      <c r="K28" s="115">
        <v>8.5</v>
      </c>
      <c r="L28" s="147">
        <f t="shared" si="4"/>
        <v>9.0000000000000036</v>
      </c>
      <c r="M28" s="205"/>
      <c r="N28" s="250">
        <f t="shared" si="1"/>
        <v>-0.50000000000000711</v>
      </c>
      <c r="O28" s="268" t="s">
        <v>72</v>
      </c>
      <c r="P28" s="269">
        <v>4.5</v>
      </c>
      <c r="Q28" s="269"/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44798</v>
      </c>
      <c r="E29" s="208"/>
      <c r="F29" s="208"/>
      <c r="G29" s="132">
        <f t="shared" si="2"/>
        <v>0</v>
      </c>
      <c r="H29" s="208"/>
      <c r="I29" s="208">
        <v>0.35416666666666669</v>
      </c>
      <c r="J29" s="132">
        <f t="shared" si="3"/>
        <v>8.5</v>
      </c>
      <c r="K29" s="209">
        <v>8.5</v>
      </c>
      <c r="L29" s="210">
        <f t="shared" si="4"/>
        <v>8.5</v>
      </c>
      <c r="M29" s="211"/>
      <c r="N29" s="249">
        <f t="shared" si="1"/>
        <v>-0.50000000000000711</v>
      </c>
      <c r="O29" s="267" t="s">
        <v>216</v>
      </c>
      <c r="P29" s="266">
        <v>8.5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44799</v>
      </c>
      <c r="E30" s="127"/>
      <c r="F30" s="127">
        <v>0.16666666666666666</v>
      </c>
      <c r="G30" s="227">
        <f t="shared" si="2"/>
        <v>4</v>
      </c>
      <c r="H30" s="127">
        <v>0.55208333333333337</v>
      </c>
      <c r="I30" s="127">
        <v>0.73958333333333337</v>
      </c>
      <c r="J30" s="227">
        <f t="shared" si="3"/>
        <v>4.5</v>
      </c>
      <c r="K30" s="115">
        <v>8</v>
      </c>
      <c r="L30" s="147">
        <f t="shared" si="4"/>
        <v>8.5</v>
      </c>
      <c r="M30" s="205"/>
      <c r="N30" s="250">
        <f t="shared" si="1"/>
        <v>-7.1054273576010019E-15</v>
      </c>
      <c r="O30" s="268" t="s">
        <v>216</v>
      </c>
      <c r="P30" s="269">
        <v>4.5</v>
      </c>
      <c r="Q30" s="269"/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44800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/>
      <c r="M31" s="205"/>
      <c r="N31" s="250">
        <f t="shared" si="1"/>
        <v>-7.1054273576010019E-15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44801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/>
      <c r="M32" s="205"/>
      <c r="N32" s="250">
        <f t="shared" si="1"/>
        <v>-7.1054273576010019E-15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35</v>
      </c>
      <c r="C33" s="206" t="s">
        <v>99</v>
      </c>
      <c r="D33" s="126">
        <v>44802</v>
      </c>
      <c r="E33" s="208">
        <v>0.3125</v>
      </c>
      <c r="F33" s="208">
        <v>0.51041666666666663</v>
      </c>
      <c r="G33" s="132">
        <f t="shared" si="2"/>
        <v>4.7499999999999991</v>
      </c>
      <c r="H33" s="208">
        <v>0.54166666666666663</v>
      </c>
      <c r="I33" s="208">
        <v>0.72916666666666663</v>
      </c>
      <c r="J33" s="132">
        <f t="shared" si="3"/>
        <v>4.5</v>
      </c>
      <c r="K33" s="209">
        <v>8.5</v>
      </c>
      <c r="L33" s="210">
        <f t="shared" si="4"/>
        <v>9.25</v>
      </c>
      <c r="M33" s="211"/>
      <c r="N33" s="249">
        <f t="shared" si="1"/>
        <v>0.74999999999999289</v>
      </c>
      <c r="O33" s="267" t="s">
        <v>72</v>
      </c>
      <c r="P33" s="266">
        <v>4.5</v>
      </c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44803</v>
      </c>
      <c r="E34" s="127">
        <v>0.3125</v>
      </c>
      <c r="F34" s="282">
        <v>0.51041666666666663</v>
      </c>
      <c r="G34" s="227">
        <f t="shared" si="2"/>
        <v>4.7499999999999991</v>
      </c>
      <c r="H34" s="282">
        <v>0.55208333333333337</v>
      </c>
      <c r="I34" s="282">
        <v>0.73958333333333337</v>
      </c>
      <c r="J34" s="227">
        <f t="shared" si="3"/>
        <v>4.5</v>
      </c>
      <c r="K34" s="115">
        <v>8.5</v>
      </c>
      <c r="L34" s="147">
        <f t="shared" si="4"/>
        <v>9.25</v>
      </c>
      <c r="M34" s="205"/>
      <c r="N34" s="250">
        <f t="shared" si="1"/>
        <v>1.4999999999999929</v>
      </c>
      <c r="O34" s="268" t="s">
        <v>72</v>
      </c>
      <c r="P34" s="269">
        <v>4.5</v>
      </c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44804</v>
      </c>
      <c r="E35" s="337">
        <v>0.35416666666666669</v>
      </c>
      <c r="F35" s="337">
        <v>0.5</v>
      </c>
      <c r="G35" s="444">
        <f t="shared" si="2"/>
        <v>3.4999999999999996</v>
      </c>
      <c r="H35" s="337">
        <v>0.54166666666666663</v>
      </c>
      <c r="I35" s="337">
        <v>0.6875</v>
      </c>
      <c r="J35" s="132">
        <f t="shared" si="3"/>
        <v>3.5000000000000009</v>
      </c>
      <c r="K35" s="221">
        <v>8.5</v>
      </c>
      <c r="L35" s="210">
        <f t="shared" si="4"/>
        <v>6.9999999999999991</v>
      </c>
      <c r="M35" s="211"/>
      <c r="N35" s="249">
        <f>IF(L35&gt;0,(L35-K35)+N34,+N34)</f>
        <v>-7.9936057773011271E-15</v>
      </c>
      <c r="O35" s="267" t="s">
        <v>72</v>
      </c>
      <c r="P35" s="266">
        <v>4.5</v>
      </c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44805</v>
      </c>
      <c r="E36" s="445"/>
      <c r="F36" s="443"/>
      <c r="G36" s="446">
        <f t="shared" si="2"/>
        <v>0</v>
      </c>
      <c r="H36" s="443"/>
      <c r="I36" s="443"/>
      <c r="J36" s="227">
        <f t="shared" si="3"/>
        <v>0</v>
      </c>
      <c r="K36" s="115">
        <v>8.5</v>
      </c>
      <c r="L36" s="147">
        <f t="shared" si="4"/>
        <v>0</v>
      </c>
      <c r="M36" s="205"/>
      <c r="N36" s="250">
        <f>IF(L36&gt;0,(L36-K36)+N35,+N35)</f>
        <v>-7.9936057773011271E-15</v>
      </c>
      <c r="O36" s="268" t="s">
        <v>216</v>
      </c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44806</v>
      </c>
      <c r="E37" s="337"/>
      <c r="F37" s="337"/>
      <c r="G37" s="444">
        <f t="shared" si="2"/>
        <v>0</v>
      </c>
      <c r="H37" s="337"/>
      <c r="I37" s="337"/>
      <c r="J37" s="132">
        <f t="shared" si="3"/>
        <v>0</v>
      </c>
      <c r="K37" s="221">
        <v>8</v>
      </c>
      <c r="L37" s="210">
        <f t="shared" si="4"/>
        <v>0</v>
      </c>
      <c r="M37" s="222"/>
      <c r="N37" s="249">
        <f>IF(L37&gt;0,(L37-K37)+N36,+N36)</f>
        <v>-7.9936057773011271E-15</v>
      </c>
      <c r="O37" s="267" t="s">
        <v>216</v>
      </c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185</v>
      </c>
      <c r="M38" s="135"/>
      <c r="N38" s="135"/>
      <c r="O38" s="135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146.5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8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12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71.5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13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42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C56" s="117" t="s">
        <v>400</v>
      </c>
      <c r="D56" s="117">
        <v>3</v>
      </c>
      <c r="F56" s="285"/>
    </row>
    <row r="57" spans="3:9" x14ac:dyDescent="0.25">
      <c r="C57" s="117" t="s">
        <v>401</v>
      </c>
      <c r="D57" s="117">
        <v>3</v>
      </c>
      <c r="F57" s="285"/>
    </row>
    <row r="58" spans="3:9" x14ac:dyDescent="0.25">
      <c r="C58" s="117" t="s">
        <v>402</v>
      </c>
      <c r="D58" s="117">
        <v>3</v>
      </c>
      <c r="F58" s="285"/>
    </row>
    <row r="59" spans="3:9" x14ac:dyDescent="0.25">
      <c r="C59" s="117" t="s">
        <v>403</v>
      </c>
      <c r="D59" s="117">
        <v>6</v>
      </c>
      <c r="F59" s="285"/>
    </row>
    <row r="60" spans="3:9" x14ac:dyDescent="0.25">
      <c r="C60" s="117" t="s">
        <v>404</v>
      </c>
      <c r="D60" s="117">
        <v>6</v>
      </c>
      <c r="F60" s="285"/>
    </row>
    <row r="61" spans="3:9" x14ac:dyDescent="0.25">
      <c r="C61" s="117" t="s">
        <v>405</v>
      </c>
      <c r="D61" s="117">
        <v>3</v>
      </c>
      <c r="F61" s="285"/>
    </row>
    <row r="62" spans="3:9" x14ac:dyDescent="0.25">
      <c r="C62" s="117" t="s">
        <v>406</v>
      </c>
      <c r="D62" s="117">
        <v>7</v>
      </c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/>
      <c r="D86" s="142"/>
    </row>
    <row r="87" spans="3:9" x14ac:dyDescent="0.25">
      <c r="C87" s="447"/>
      <c r="D87" s="142"/>
    </row>
    <row r="88" spans="3:9" x14ac:dyDescent="0.25">
      <c r="D88" s="142"/>
    </row>
    <row r="89" spans="3:9" x14ac:dyDescent="0.25">
      <c r="D89" s="142"/>
    </row>
    <row r="90" spans="3:9" x14ac:dyDescent="0.25">
      <c r="D90" s="142"/>
    </row>
    <row r="91" spans="3:9" x14ac:dyDescent="0.25"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20" priority="2">
      <formula>D5=TODAY()</formula>
    </cfRule>
    <cfRule type="expression" dxfId="19" priority="3">
      <formula>D5&lt;TODAY()</formula>
    </cfRule>
  </conditionalFormatting>
  <conditionalFormatting sqref="G1">
    <cfRule type="expression" dxfId="18" priority="1">
      <formula>$F$1=$E$1</formula>
    </cfRule>
  </conditionalFormatting>
  <dataValidations count="1">
    <dataValidation type="list" allowBlank="1" showInputMessage="1" showErrorMessage="1" sqref="E38 G38" xr:uid="{00000000-0002-0000-17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ase à cocher 7">
              <controlPr defaultSize="0" autoFill="0" autoLine="0" autoPict="0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9" name="Check Box 11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0" name="Check Box 12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1" name="Check Box 13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2" name="Check Box 14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3" name="Check Box 15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4" name="Check Box 16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5" name="Check Box 17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6" name="Check Box 18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7" name="Check Box 19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8" name="Check Box 20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6">
    <tabColor theme="5" tint="0.59999389629810485"/>
    <pageSetUpPr fitToPage="1"/>
  </sheetPr>
  <dimension ref="A1:AT1048576"/>
  <sheetViews>
    <sheetView showZeros="0" showRuler="0" topLeftCell="A7" zoomScaleNormal="100" zoomScaleSheetLayoutView="100" zoomScalePageLayoutView="70" workbookViewId="0">
      <selection activeCell="R36" sqref="R36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176</v>
      </c>
    </row>
    <row r="5" spans="1:46" ht="16.350000000000001" customHeight="1" thickTop="1" thickBot="1" x14ac:dyDescent="0.35">
      <c r="B5" s="487">
        <f>_xlfn.ISOWEEKNUM(D5)</f>
        <v>35</v>
      </c>
      <c r="C5" s="229" t="s">
        <v>99</v>
      </c>
      <c r="D5" s="126">
        <v>44802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10"/>
      <c r="M5" s="211"/>
      <c r="N5" s="249">
        <f t="shared" ref="N5:N34" si="0">IF(L5&gt;0,(L5-K5)+N4,+N4)</f>
        <v>0</v>
      </c>
      <c r="O5" s="267"/>
      <c r="P5" s="266"/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44803</v>
      </c>
      <c r="E6" s="127"/>
      <c r="F6" s="282"/>
      <c r="G6" s="227">
        <f t="shared" ref="G6:G37" si="1">(F6-E6)*24</f>
        <v>0</v>
      </c>
      <c r="H6" s="282"/>
      <c r="I6" s="127"/>
      <c r="J6" s="227">
        <f t="shared" ref="J6:J37" si="2">(I6-H6)*24</f>
        <v>0</v>
      </c>
      <c r="K6" s="115">
        <v>8.5</v>
      </c>
      <c r="L6" s="210"/>
      <c r="M6" s="205"/>
      <c r="N6" s="249">
        <f t="shared" si="0"/>
        <v>0</v>
      </c>
      <c r="O6" s="268"/>
      <c r="P6" s="269"/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44804</v>
      </c>
      <c r="E7" s="208"/>
      <c r="F7" s="208"/>
      <c r="G7" s="132">
        <f t="shared" si="1"/>
        <v>0</v>
      </c>
      <c r="H7" s="208"/>
      <c r="I7" s="208"/>
      <c r="J7" s="132">
        <f t="shared" si="2"/>
        <v>0</v>
      </c>
      <c r="K7" s="209">
        <v>8.5</v>
      </c>
      <c r="L7" s="210"/>
      <c r="M7" s="211"/>
      <c r="N7" s="249">
        <f t="shared" si="0"/>
        <v>0</v>
      </c>
      <c r="O7" s="267"/>
      <c r="P7" s="266"/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44805</v>
      </c>
      <c r="E8" s="127"/>
      <c r="F8" s="282"/>
      <c r="G8" s="227">
        <f t="shared" si="1"/>
        <v>0</v>
      </c>
      <c r="H8" s="282"/>
      <c r="I8" s="127">
        <v>0.35416666666666669</v>
      </c>
      <c r="J8" s="227">
        <f t="shared" si="2"/>
        <v>8.5</v>
      </c>
      <c r="K8" s="115">
        <v>8.5</v>
      </c>
      <c r="L8" s="210">
        <f t="shared" ref="L8:L37" si="3">(F8-E8+I8-H8)*24</f>
        <v>8.5</v>
      </c>
      <c r="M8" s="205"/>
      <c r="N8" s="249">
        <f t="shared" si="0"/>
        <v>0</v>
      </c>
      <c r="O8" s="268" t="s">
        <v>216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1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44806</v>
      </c>
      <c r="E9" s="208"/>
      <c r="F9" s="208">
        <v>0.16666666666666666</v>
      </c>
      <c r="G9" s="132">
        <f t="shared" si="1"/>
        <v>4</v>
      </c>
      <c r="H9" s="208">
        <v>0.5625</v>
      </c>
      <c r="I9" s="208">
        <v>0.6875</v>
      </c>
      <c r="J9" s="132">
        <f t="shared" si="2"/>
        <v>3</v>
      </c>
      <c r="K9" s="209">
        <v>8</v>
      </c>
      <c r="L9" s="210">
        <f t="shared" si="3"/>
        <v>6.9999999999999991</v>
      </c>
      <c r="M9" s="211"/>
      <c r="N9" s="249">
        <f t="shared" si="0"/>
        <v>-1.0000000000000009</v>
      </c>
      <c r="O9" s="276" t="s">
        <v>216</v>
      </c>
      <c r="P9" s="277">
        <v>4</v>
      </c>
      <c r="Q9" s="277" t="s">
        <v>139</v>
      </c>
      <c r="R9" s="277">
        <v>3</v>
      </c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44807</v>
      </c>
      <c r="E10" s="145"/>
      <c r="F10" s="145"/>
      <c r="G10" s="132">
        <f t="shared" si="1"/>
        <v>0</v>
      </c>
      <c r="H10" s="145"/>
      <c r="I10" s="145"/>
      <c r="J10" s="132">
        <f t="shared" si="2"/>
        <v>0</v>
      </c>
      <c r="K10" s="146">
        <v>8</v>
      </c>
      <c r="L10" s="210"/>
      <c r="M10" s="205"/>
      <c r="N10" s="250">
        <f t="shared" si="0"/>
        <v>-1.0000000000000009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44808</v>
      </c>
      <c r="E11" s="145"/>
      <c r="F11" s="145"/>
      <c r="G11" s="132">
        <f t="shared" si="1"/>
        <v>0</v>
      </c>
      <c r="H11" s="145"/>
      <c r="I11" s="145"/>
      <c r="J11" s="132">
        <f t="shared" si="2"/>
        <v>0</v>
      </c>
      <c r="K11" s="146">
        <v>8</v>
      </c>
      <c r="L11" s="210"/>
      <c r="M11" s="205"/>
      <c r="N11" s="250">
        <f t="shared" si="0"/>
        <v>-1.0000000000000009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36</v>
      </c>
      <c r="C12" s="125" t="s">
        <v>99</v>
      </c>
      <c r="D12" s="126">
        <v>44809</v>
      </c>
      <c r="E12" s="127">
        <v>0.32291666666666669</v>
      </c>
      <c r="F12" s="127">
        <v>0.51041666666666663</v>
      </c>
      <c r="G12" s="227">
        <f t="shared" si="1"/>
        <v>4.4999999999999982</v>
      </c>
      <c r="H12" s="127">
        <v>0.54166666666666663</v>
      </c>
      <c r="I12" s="127">
        <v>0.70833333333333337</v>
      </c>
      <c r="J12" s="227">
        <f t="shared" si="2"/>
        <v>4.0000000000000018</v>
      </c>
      <c r="K12" s="115">
        <v>8.5</v>
      </c>
      <c r="L12" s="147">
        <f t="shared" si="3"/>
        <v>8.5</v>
      </c>
      <c r="M12" s="205"/>
      <c r="N12" s="250">
        <f t="shared" si="0"/>
        <v>-1.0000000000000009</v>
      </c>
      <c r="O12" s="268" t="s">
        <v>72</v>
      </c>
      <c r="P12" s="269">
        <v>4.5</v>
      </c>
      <c r="Q12" s="269" t="s">
        <v>139</v>
      </c>
      <c r="R12" s="269">
        <v>4</v>
      </c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44810</v>
      </c>
      <c r="E13" s="208">
        <v>0.32291666666666669</v>
      </c>
      <c r="F13" s="208">
        <v>0.51041666666666663</v>
      </c>
      <c r="G13" s="132">
        <f t="shared" si="1"/>
        <v>4.4999999999999982</v>
      </c>
      <c r="H13" s="208">
        <v>0.55208333333333337</v>
      </c>
      <c r="I13" s="208">
        <v>0.73958333333333337</v>
      </c>
      <c r="J13" s="132">
        <f t="shared" si="2"/>
        <v>4.5</v>
      </c>
      <c r="K13" s="209">
        <v>8.5</v>
      </c>
      <c r="L13" s="210">
        <f t="shared" si="3"/>
        <v>8.9999999999999964</v>
      </c>
      <c r="M13" s="211"/>
      <c r="N13" s="249">
        <f t="shared" si="0"/>
        <v>-0.50000000000000444</v>
      </c>
      <c r="O13" s="267" t="s">
        <v>72</v>
      </c>
      <c r="P13" s="266">
        <v>4.5</v>
      </c>
      <c r="Q13" s="266" t="s">
        <v>139</v>
      </c>
      <c r="R13" s="266">
        <v>4.5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44811</v>
      </c>
      <c r="E14" s="127"/>
      <c r="F14" s="127"/>
      <c r="G14" s="227">
        <f t="shared" si="1"/>
        <v>0</v>
      </c>
      <c r="H14" s="127"/>
      <c r="I14" s="127">
        <v>0.35416666666666669</v>
      </c>
      <c r="J14" s="227">
        <f t="shared" si="2"/>
        <v>8.5</v>
      </c>
      <c r="K14" s="115">
        <v>8.5</v>
      </c>
      <c r="L14" s="147">
        <f t="shared" si="3"/>
        <v>8.5</v>
      </c>
      <c r="M14" s="205"/>
      <c r="N14" s="250">
        <f t="shared" si="0"/>
        <v>-0.50000000000000444</v>
      </c>
      <c r="O14" s="268" t="s">
        <v>418</v>
      </c>
      <c r="P14" s="269">
        <v>8.5</v>
      </c>
      <c r="Q14" s="269"/>
      <c r="R14" s="269"/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44812</v>
      </c>
      <c r="E15" s="208"/>
      <c r="F15" s="208"/>
      <c r="G15" s="132">
        <f t="shared" si="1"/>
        <v>0</v>
      </c>
      <c r="H15" s="208"/>
      <c r="I15" s="208"/>
      <c r="J15" s="132">
        <f t="shared" si="2"/>
        <v>0</v>
      </c>
      <c r="K15" s="209">
        <v>8.5</v>
      </c>
      <c r="L15" s="210">
        <f t="shared" si="3"/>
        <v>0</v>
      </c>
      <c r="M15" s="211"/>
      <c r="N15" s="249">
        <f t="shared" si="0"/>
        <v>-0.50000000000000444</v>
      </c>
      <c r="O15" s="534" t="s">
        <v>417</v>
      </c>
      <c r="P15" s="535"/>
      <c r="Q15" s="535"/>
      <c r="R15" s="535"/>
      <c r="S15" s="535"/>
      <c r="T15" s="535"/>
      <c r="U15" s="535"/>
      <c r="V15" s="535"/>
      <c r="W15" s="535"/>
      <c r="X15" s="536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44813</v>
      </c>
      <c r="E16" s="127"/>
      <c r="F16" s="127">
        <v>0.16666666666666666</v>
      </c>
      <c r="G16" s="227">
        <f t="shared" si="1"/>
        <v>4</v>
      </c>
      <c r="H16" s="127"/>
      <c r="I16" s="127">
        <v>0.16666666666666666</v>
      </c>
      <c r="J16" s="227">
        <f t="shared" si="2"/>
        <v>4</v>
      </c>
      <c r="K16" s="115">
        <v>8</v>
      </c>
      <c r="L16" s="147">
        <f t="shared" si="3"/>
        <v>8</v>
      </c>
      <c r="M16" s="205"/>
      <c r="N16" s="250">
        <f t="shared" si="0"/>
        <v>-0.50000000000000444</v>
      </c>
      <c r="O16" s="269" t="s">
        <v>72</v>
      </c>
      <c r="P16" s="269">
        <v>4</v>
      </c>
      <c r="Q16" s="269" t="s">
        <v>103</v>
      </c>
      <c r="R16" s="269">
        <v>4</v>
      </c>
      <c r="S16" s="269"/>
      <c r="T16" s="270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44814</v>
      </c>
      <c r="E17" s="145"/>
      <c r="F17" s="145"/>
      <c r="G17" s="132">
        <f t="shared" si="1"/>
        <v>0</v>
      </c>
      <c r="H17" s="145"/>
      <c r="I17" s="145"/>
      <c r="J17" s="132">
        <f t="shared" si="2"/>
        <v>0</v>
      </c>
      <c r="K17" s="146">
        <v>8</v>
      </c>
      <c r="L17" s="210"/>
      <c r="M17" s="205"/>
      <c r="N17" s="250">
        <f t="shared" si="0"/>
        <v>-0.50000000000000444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44815</v>
      </c>
      <c r="E18" s="145"/>
      <c r="F18" s="145"/>
      <c r="G18" s="132">
        <f t="shared" si="1"/>
        <v>0</v>
      </c>
      <c r="H18" s="145"/>
      <c r="I18" s="145"/>
      <c r="J18" s="132">
        <f t="shared" si="2"/>
        <v>0</v>
      </c>
      <c r="K18" s="146">
        <v>8</v>
      </c>
      <c r="L18" s="210"/>
      <c r="M18" s="205"/>
      <c r="N18" s="250">
        <f t="shared" si="0"/>
        <v>-0.50000000000000444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37</v>
      </c>
      <c r="C19" s="206" t="s">
        <v>99</v>
      </c>
      <c r="D19" s="126">
        <v>44816</v>
      </c>
      <c r="E19" s="208">
        <v>0.32291666666666669</v>
      </c>
      <c r="F19" s="208">
        <v>0.51041666666666663</v>
      </c>
      <c r="G19" s="132">
        <f t="shared" si="1"/>
        <v>4.4999999999999982</v>
      </c>
      <c r="H19" s="208">
        <v>0.54166666666666663</v>
      </c>
      <c r="I19" s="208">
        <v>0.72916666666666663</v>
      </c>
      <c r="J19" s="132">
        <f t="shared" si="2"/>
        <v>4.5</v>
      </c>
      <c r="K19" s="209">
        <v>8.5</v>
      </c>
      <c r="L19" s="210">
        <f t="shared" si="3"/>
        <v>8.9999999999999964</v>
      </c>
      <c r="M19" s="211"/>
      <c r="N19" s="249">
        <f t="shared" si="0"/>
        <v>-7.9936057773011271E-15</v>
      </c>
      <c r="O19" s="267" t="s">
        <v>72</v>
      </c>
      <c r="P19" s="266">
        <v>4.5</v>
      </c>
      <c r="Q19" s="266" t="s">
        <v>397</v>
      </c>
      <c r="R19" s="266">
        <v>4.5</v>
      </c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44817</v>
      </c>
      <c r="E20" s="127">
        <v>0.32291666666666669</v>
      </c>
      <c r="F20" s="127">
        <v>0.51041666666666663</v>
      </c>
      <c r="G20" s="227">
        <f t="shared" si="1"/>
        <v>4.4999999999999982</v>
      </c>
      <c r="H20" s="127">
        <v>0.54166666666666663</v>
      </c>
      <c r="I20" s="127">
        <v>0.75</v>
      </c>
      <c r="J20" s="227">
        <f t="shared" si="2"/>
        <v>5.0000000000000009</v>
      </c>
      <c r="K20" s="115">
        <v>8.5</v>
      </c>
      <c r="L20" s="147">
        <f t="shared" si="3"/>
        <v>9.5</v>
      </c>
      <c r="M20" s="205"/>
      <c r="N20" s="250">
        <f t="shared" si="0"/>
        <v>0.99999999999999201</v>
      </c>
      <c r="O20" s="269" t="s">
        <v>72</v>
      </c>
      <c r="P20" s="269">
        <v>4.5</v>
      </c>
      <c r="Q20" s="269" t="s">
        <v>397</v>
      </c>
      <c r="R20" s="269">
        <v>5</v>
      </c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44818</v>
      </c>
      <c r="E21" s="208">
        <v>0.3125</v>
      </c>
      <c r="F21" s="208">
        <v>0.51041666666666663</v>
      </c>
      <c r="G21" s="132">
        <f t="shared" si="1"/>
        <v>4.7499999999999991</v>
      </c>
      <c r="H21" s="208">
        <v>0.54166666666666663</v>
      </c>
      <c r="I21" s="208">
        <v>0.69791666666666663</v>
      </c>
      <c r="J21" s="132">
        <f t="shared" si="2"/>
        <v>3.75</v>
      </c>
      <c r="K21" s="209">
        <v>8.5</v>
      </c>
      <c r="L21" s="210">
        <f t="shared" si="3"/>
        <v>8.5</v>
      </c>
      <c r="M21" s="211"/>
      <c r="N21" s="249">
        <f t="shared" si="0"/>
        <v>0.99999999999999201</v>
      </c>
      <c r="O21" s="267" t="s">
        <v>72</v>
      </c>
      <c r="P21" s="266">
        <v>4.5</v>
      </c>
      <c r="Q21" s="266" t="s">
        <v>425</v>
      </c>
      <c r="R21" s="266">
        <v>4</v>
      </c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44819</v>
      </c>
      <c r="E22" s="127"/>
      <c r="F22" s="127"/>
      <c r="G22" s="227">
        <f t="shared" si="1"/>
        <v>0</v>
      </c>
      <c r="H22" s="127"/>
      <c r="I22" s="127">
        <v>0.35416666666666669</v>
      </c>
      <c r="J22" s="227">
        <f t="shared" si="2"/>
        <v>8.5</v>
      </c>
      <c r="K22" s="115">
        <v>8.5</v>
      </c>
      <c r="L22" s="147">
        <f t="shared" si="3"/>
        <v>8.5</v>
      </c>
      <c r="M22" s="205"/>
      <c r="N22" s="250">
        <f t="shared" si="0"/>
        <v>0.99999999999999201</v>
      </c>
      <c r="O22" s="268" t="s">
        <v>72</v>
      </c>
      <c r="P22" s="269">
        <v>4.5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44820</v>
      </c>
      <c r="E23" s="208"/>
      <c r="F23" s="208">
        <v>0.16666666666666666</v>
      </c>
      <c r="G23" s="132">
        <f t="shared" si="1"/>
        <v>4</v>
      </c>
      <c r="H23" s="208">
        <v>0.5625</v>
      </c>
      <c r="I23" s="208">
        <v>0.72916666666666663</v>
      </c>
      <c r="J23" s="132">
        <f t="shared" si="2"/>
        <v>3.9999999999999991</v>
      </c>
      <c r="K23" s="209">
        <v>8</v>
      </c>
      <c r="L23" s="210">
        <f t="shared" si="3"/>
        <v>7.9999999999999982</v>
      </c>
      <c r="M23" s="211"/>
      <c r="N23" s="249">
        <f t="shared" si="0"/>
        <v>0.99999999999999023</v>
      </c>
      <c r="O23" s="267" t="s">
        <v>72</v>
      </c>
      <c r="P23" s="266">
        <v>4</v>
      </c>
      <c r="Q23" s="266" t="s">
        <v>397</v>
      </c>
      <c r="R23" s="266">
        <v>4</v>
      </c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44821</v>
      </c>
      <c r="E24" s="145"/>
      <c r="F24" s="145"/>
      <c r="G24" s="132">
        <f t="shared" si="1"/>
        <v>0</v>
      </c>
      <c r="H24" s="145"/>
      <c r="I24" s="145"/>
      <c r="J24" s="132">
        <f t="shared" si="2"/>
        <v>0</v>
      </c>
      <c r="K24" s="146">
        <v>8</v>
      </c>
      <c r="L24" s="210"/>
      <c r="M24" s="205"/>
      <c r="N24" s="249">
        <f t="shared" si="0"/>
        <v>0.99999999999999023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44822</v>
      </c>
      <c r="E25" s="145"/>
      <c r="F25" s="145"/>
      <c r="G25" s="132">
        <f t="shared" si="1"/>
        <v>0</v>
      </c>
      <c r="H25" s="145"/>
      <c r="I25" s="145"/>
      <c r="J25" s="132">
        <f t="shared" si="2"/>
        <v>0</v>
      </c>
      <c r="K25" s="146">
        <v>8</v>
      </c>
      <c r="L25" s="210"/>
      <c r="M25" s="205"/>
      <c r="N25" s="249">
        <f t="shared" si="0"/>
        <v>0.99999999999999023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38</v>
      </c>
      <c r="C26" s="125" t="s">
        <v>99</v>
      </c>
      <c r="D26" s="126">
        <v>44823</v>
      </c>
      <c r="E26" s="127">
        <v>0.33333333333333331</v>
      </c>
      <c r="F26" s="127">
        <v>0.51041666666666663</v>
      </c>
      <c r="G26" s="227">
        <f t="shared" si="1"/>
        <v>4.25</v>
      </c>
      <c r="H26" s="127">
        <v>0.54166666666666663</v>
      </c>
      <c r="I26" s="127">
        <v>0.71875</v>
      </c>
      <c r="J26" s="227">
        <f t="shared" si="2"/>
        <v>4.2500000000000009</v>
      </c>
      <c r="K26" s="115">
        <v>8.5</v>
      </c>
      <c r="L26" s="147">
        <f t="shared" si="3"/>
        <v>8.5</v>
      </c>
      <c r="M26" s="205"/>
      <c r="N26" s="250">
        <f t="shared" si="0"/>
        <v>0.99999999999999023</v>
      </c>
      <c r="O26" s="268" t="s">
        <v>72</v>
      </c>
      <c r="P26" s="269">
        <v>4.5</v>
      </c>
      <c r="Q26" s="269" t="s">
        <v>425</v>
      </c>
      <c r="R26" s="269">
        <v>4</v>
      </c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44824</v>
      </c>
      <c r="E27" s="208">
        <v>0.33333333333333331</v>
      </c>
      <c r="F27" s="208">
        <v>0.5</v>
      </c>
      <c r="G27" s="132">
        <f>(F27-E27)*24</f>
        <v>4</v>
      </c>
      <c r="H27" s="208">
        <v>0.54166666666666663</v>
      </c>
      <c r="I27" s="208">
        <v>0.72916666666666663</v>
      </c>
      <c r="J27" s="132">
        <f t="shared" si="2"/>
        <v>4.5</v>
      </c>
      <c r="K27" s="209">
        <v>8.5</v>
      </c>
      <c r="L27" s="210">
        <f t="shared" si="3"/>
        <v>8.5</v>
      </c>
      <c r="M27" s="211"/>
      <c r="N27" s="249">
        <f t="shared" si="0"/>
        <v>0.99999999999999023</v>
      </c>
      <c r="O27" s="267" t="s">
        <v>72</v>
      </c>
      <c r="P27" s="266">
        <v>4.5</v>
      </c>
      <c r="Q27" s="266" t="s">
        <v>425</v>
      </c>
      <c r="R27" s="266">
        <v>4</v>
      </c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44825</v>
      </c>
      <c r="E28" s="127">
        <v>0.33333333333333331</v>
      </c>
      <c r="F28" s="127">
        <v>0.51041666666666663</v>
      </c>
      <c r="G28" s="227">
        <f t="shared" si="1"/>
        <v>4.25</v>
      </c>
      <c r="H28" s="127">
        <v>0.54166666666666663</v>
      </c>
      <c r="I28" s="127">
        <v>0.71875</v>
      </c>
      <c r="J28" s="227">
        <f t="shared" si="2"/>
        <v>4.2500000000000009</v>
      </c>
      <c r="K28" s="115">
        <v>8.5</v>
      </c>
      <c r="L28" s="147">
        <f t="shared" si="3"/>
        <v>8.5</v>
      </c>
      <c r="M28" s="205"/>
      <c r="N28" s="250">
        <f t="shared" si="0"/>
        <v>0.99999999999999023</v>
      </c>
      <c r="O28" s="268" t="s">
        <v>72</v>
      </c>
      <c r="P28" s="269">
        <v>4.5</v>
      </c>
      <c r="Q28" s="269" t="s">
        <v>425</v>
      </c>
      <c r="R28" s="269">
        <v>4</v>
      </c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44826</v>
      </c>
      <c r="E29" s="208"/>
      <c r="F29" s="208"/>
      <c r="G29" s="132">
        <f t="shared" si="1"/>
        <v>0</v>
      </c>
      <c r="H29" s="208"/>
      <c r="I29" s="208">
        <v>0.35416666666666669</v>
      </c>
      <c r="J29" s="132">
        <f t="shared" si="2"/>
        <v>8.5</v>
      </c>
      <c r="K29" s="209">
        <v>8.5</v>
      </c>
      <c r="L29" s="210">
        <f t="shared" si="3"/>
        <v>8.5</v>
      </c>
      <c r="M29" s="211"/>
      <c r="N29" s="249">
        <f t="shared" si="0"/>
        <v>0.99999999999999023</v>
      </c>
      <c r="O29" s="267" t="s">
        <v>216</v>
      </c>
      <c r="P29" s="266">
        <v>8.5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44827</v>
      </c>
      <c r="E30" s="127"/>
      <c r="F30" s="127">
        <v>0.16666666666666666</v>
      </c>
      <c r="G30" s="227">
        <f t="shared" si="1"/>
        <v>4</v>
      </c>
      <c r="H30" s="127">
        <v>0.5625</v>
      </c>
      <c r="I30" s="127">
        <v>0.6875</v>
      </c>
      <c r="J30" s="227">
        <f t="shared" si="2"/>
        <v>3</v>
      </c>
      <c r="K30" s="115">
        <v>8</v>
      </c>
      <c r="L30" s="147">
        <f t="shared" si="3"/>
        <v>6.9999999999999991</v>
      </c>
      <c r="M30" s="205"/>
      <c r="N30" s="250">
        <f t="shared" si="0"/>
        <v>-1.0658141036401503E-14</v>
      </c>
      <c r="O30" s="268" t="s">
        <v>216</v>
      </c>
      <c r="P30" s="269">
        <v>4</v>
      </c>
      <c r="Q30" s="269" t="s">
        <v>424</v>
      </c>
      <c r="R30" s="269">
        <v>3</v>
      </c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44828</v>
      </c>
      <c r="E31" s="145"/>
      <c r="F31" s="145"/>
      <c r="G31" s="132">
        <f t="shared" si="1"/>
        <v>0</v>
      </c>
      <c r="H31" s="145"/>
      <c r="I31" s="145"/>
      <c r="J31" s="227">
        <f t="shared" si="2"/>
        <v>0</v>
      </c>
      <c r="K31" s="146">
        <v>8</v>
      </c>
      <c r="L31" s="210"/>
      <c r="M31" s="205"/>
      <c r="N31" s="250">
        <f t="shared" si="0"/>
        <v>-1.0658141036401503E-14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44829</v>
      </c>
      <c r="E32" s="145"/>
      <c r="F32" s="145"/>
      <c r="G32" s="132">
        <f t="shared" si="1"/>
        <v>0</v>
      </c>
      <c r="H32" s="145"/>
      <c r="I32" s="145"/>
      <c r="J32" s="132">
        <f t="shared" si="2"/>
        <v>0</v>
      </c>
      <c r="K32" s="146">
        <v>8</v>
      </c>
      <c r="L32" s="210"/>
      <c r="M32" s="205"/>
      <c r="N32" s="250">
        <f t="shared" si="0"/>
        <v>-1.0658141036401503E-14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39</v>
      </c>
      <c r="C33" s="206" t="s">
        <v>99</v>
      </c>
      <c r="D33" s="126">
        <v>44830</v>
      </c>
      <c r="E33" s="208">
        <v>0.33333333333333331</v>
      </c>
      <c r="F33" s="208">
        <v>0.51041666666666663</v>
      </c>
      <c r="G33" s="132">
        <f t="shared" si="1"/>
        <v>4.25</v>
      </c>
      <c r="H33" s="208">
        <v>0.54166666666666663</v>
      </c>
      <c r="I33" s="208">
        <v>0.71875</v>
      </c>
      <c r="J33" s="132">
        <f t="shared" si="2"/>
        <v>4.2500000000000009</v>
      </c>
      <c r="K33" s="209">
        <v>8.5</v>
      </c>
      <c r="L33" s="210">
        <f t="shared" si="3"/>
        <v>8.5</v>
      </c>
      <c r="M33" s="211"/>
      <c r="N33" s="249">
        <f t="shared" si="0"/>
        <v>-1.0658141036401503E-14</v>
      </c>
      <c r="O33" s="267" t="s">
        <v>72</v>
      </c>
      <c r="P33" s="266">
        <v>4.5</v>
      </c>
      <c r="Q33" s="266" t="s">
        <v>424</v>
      </c>
      <c r="R33" s="266">
        <v>4</v>
      </c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44831</v>
      </c>
      <c r="E34" s="127">
        <v>0.33333333333333331</v>
      </c>
      <c r="F34" s="282">
        <v>0.51041666666666663</v>
      </c>
      <c r="G34" s="227">
        <f t="shared" si="1"/>
        <v>4.25</v>
      </c>
      <c r="H34" s="282">
        <v>0.54166666666666663</v>
      </c>
      <c r="I34" s="282">
        <v>0.71875</v>
      </c>
      <c r="J34" s="227">
        <f t="shared" si="2"/>
        <v>4.2500000000000009</v>
      </c>
      <c r="K34" s="115">
        <v>8.5</v>
      </c>
      <c r="L34" s="147">
        <f t="shared" si="3"/>
        <v>8.5</v>
      </c>
      <c r="M34" s="205"/>
      <c r="N34" s="250">
        <f t="shared" si="0"/>
        <v>-1.0658141036401503E-14</v>
      </c>
      <c r="O34" s="268" t="s">
        <v>72</v>
      </c>
      <c r="P34" s="269">
        <v>4.5</v>
      </c>
      <c r="Q34" s="269" t="s">
        <v>424</v>
      </c>
      <c r="R34" s="269">
        <v>4</v>
      </c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44832</v>
      </c>
      <c r="E35" s="337">
        <v>0.33333333333333331</v>
      </c>
      <c r="F35" s="337">
        <v>0.51041666666666663</v>
      </c>
      <c r="G35" s="444">
        <f t="shared" si="1"/>
        <v>4.25</v>
      </c>
      <c r="H35" s="337">
        <v>0.54166666666666663</v>
      </c>
      <c r="I35" s="337">
        <v>0.75</v>
      </c>
      <c r="J35" s="132">
        <f t="shared" si="2"/>
        <v>5.0000000000000009</v>
      </c>
      <c r="K35" s="221">
        <v>8.5</v>
      </c>
      <c r="L35" s="210">
        <f t="shared" si="3"/>
        <v>9.25</v>
      </c>
      <c r="M35" s="211"/>
      <c r="N35" s="249">
        <f>IF(L35&gt;0,(L35-K35)+N34,+N34)</f>
        <v>0.74999999999998934</v>
      </c>
      <c r="O35" s="267" t="s">
        <v>72</v>
      </c>
      <c r="P35" s="266">
        <v>4.5</v>
      </c>
      <c r="Q35" s="266" t="s">
        <v>424</v>
      </c>
      <c r="R35" s="266">
        <v>4.75</v>
      </c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44833</v>
      </c>
      <c r="E36" s="445"/>
      <c r="F36" s="443"/>
      <c r="G36" s="446">
        <f t="shared" si="1"/>
        <v>0</v>
      </c>
      <c r="H36" s="443"/>
      <c r="I36" s="443">
        <v>0.35416666666666669</v>
      </c>
      <c r="J36" s="227">
        <f t="shared" si="2"/>
        <v>8.5</v>
      </c>
      <c r="K36" s="115">
        <v>8.5</v>
      </c>
      <c r="L36" s="147">
        <f t="shared" si="3"/>
        <v>8.5</v>
      </c>
      <c r="M36" s="205"/>
      <c r="N36" s="250">
        <f>IF(L36&gt;0,(L36-K36)+N35,+N35)</f>
        <v>0.74999999999998934</v>
      </c>
      <c r="O36" s="268" t="s">
        <v>216</v>
      </c>
      <c r="P36" s="269">
        <v>8.5</v>
      </c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44834</v>
      </c>
      <c r="E37" s="337"/>
      <c r="F37" s="337">
        <v>0.16666666666666666</v>
      </c>
      <c r="G37" s="444">
        <f t="shared" si="1"/>
        <v>4</v>
      </c>
      <c r="H37" s="337">
        <v>0.5625</v>
      </c>
      <c r="I37" s="337">
        <v>0.69791666666666663</v>
      </c>
      <c r="J37" s="132">
        <f t="shared" si="2"/>
        <v>3.2499999999999991</v>
      </c>
      <c r="K37" s="221">
        <v>8</v>
      </c>
      <c r="L37" s="210">
        <f t="shared" si="3"/>
        <v>7.2499999999999982</v>
      </c>
      <c r="M37" s="222"/>
      <c r="N37" s="249">
        <f>IF(L37&gt;0,(L37-K37)+N36,+N36)</f>
        <v>-1.2434497875801753E-14</v>
      </c>
      <c r="O37" s="267" t="s">
        <v>216</v>
      </c>
      <c r="P37" s="277">
        <v>4</v>
      </c>
      <c r="Q37" s="277" t="s">
        <v>424</v>
      </c>
      <c r="R37" s="277">
        <v>3.25</v>
      </c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176</v>
      </c>
      <c r="M38" s="135"/>
      <c r="N38" s="135"/>
      <c r="O38" s="186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128.5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11.5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13.5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62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37.5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4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 t="s">
        <v>419</v>
      </c>
      <c r="D86" s="142"/>
    </row>
    <row r="87" spans="3:9" x14ac:dyDescent="0.25">
      <c r="C87" s="447"/>
      <c r="D87" s="142"/>
    </row>
    <row r="88" spans="3:9" x14ac:dyDescent="0.25">
      <c r="C88" s="117" t="s">
        <v>420</v>
      </c>
      <c r="D88" s="142"/>
    </row>
    <row r="89" spans="3:9" x14ac:dyDescent="0.25">
      <c r="C89" s="117" t="s">
        <v>421</v>
      </c>
      <c r="D89" s="142"/>
    </row>
    <row r="90" spans="3:9" x14ac:dyDescent="0.25">
      <c r="C90" s="117" t="s">
        <v>422</v>
      </c>
      <c r="D90" s="142"/>
    </row>
    <row r="91" spans="3:9" x14ac:dyDescent="0.25">
      <c r="C91" s="117" t="s">
        <v>423</v>
      </c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3">
    <mergeCell ref="C51:D51"/>
    <mergeCell ref="E51:F51"/>
    <mergeCell ref="O15:X15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17" priority="2">
      <formula>D5=TODAY()</formula>
    </cfRule>
    <cfRule type="expression" dxfId="16" priority="3">
      <formula>D5&lt;TODAY()</formula>
    </cfRule>
  </conditionalFormatting>
  <conditionalFormatting sqref="G1">
    <cfRule type="expression" dxfId="15" priority="1">
      <formula>$F$1=$E$1</formula>
    </cfRule>
  </conditionalFormatting>
  <dataValidations disablePrompts="1" count="1">
    <dataValidation type="list" allowBlank="1" showInputMessage="1" showErrorMessage="1" sqref="E38 G38" xr:uid="{00000000-0002-0000-18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ase à cocher 7">
              <controlPr defaultSize="0" autoFill="0" autoLine="0" autoPict="0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7">
    <tabColor theme="5" tint="0.59999389629810485"/>
    <pageSetUpPr fitToPage="1"/>
  </sheetPr>
  <dimension ref="A1:AT1048576"/>
  <sheetViews>
    <sheetView showZeros="0" showRuler="0" topLeftCell="C14" zoomScale="115" zoomScaleNormal="115" zoomScaleSheetLayoutView="100" zoomScalePageLayoutView="70" workbookViewId="0">
      <selection activeCell="I24" sqref="I24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167,75</v>
      </c>
    </row>
    <row r="5" spans="1:46" ht="16.350000000000001" customHeight="1" thickTop="1" thickBot="1" x14ac:dyDescent="0.35">
      <c r="B5" s="487">
        <f>_xlfn.ISOWEEKNUM(D5)</f>
        <v>40</v>
      </c>
      <c r="C5" s="229" t="s">
        <v>99</v>
      </c>
      <c r="D5" s="126">
        <v>44837</v>
      </c>
      <c r="E5" s="231">
        <v>0.33333333333333331</v>
      </c>
      <c r="F5" s="231">
        <v>0.51041666666666663</v>
      </c>
      <c r="G5" s="232">
        <f>(F5-E5)*24</f>
        <v>4.25</v>
      </c>
      <c r="H5" s="231">
        <v>0.54166666666666663</v>
      </c>
      <c r="I5" s="231">
        <v>0.72916666666666663</v>
      </c>
      <c r="J5" s="232">
        <f>(I5-H5)*24</f>
        <v>4.5</v>
      </c>
      <c r="K5" s="233">
        <v>8.5</v>
      </c>
      <c r="L5" s="210">
        <f t="shared" ref="L5:L37" si="0">(F5-E5+I5-H5)*24</f>
        <v>8.75</v>
      </c>
      <c r="M5" s="211"/>
      <c r="N5" s="249">
        <f t="shared" ref="N5:N34" si="1">IF(L5&gt;0,(L5-K5)+N4,+N4)</f>
        <v>0.25</v>
      </c>
      <c r="O5" s="267" t="s">
        <v>72</v>
      </c>
      <c r="P5" s="266">
        <v>4.5</v>
      </c>
      <c r="Q5" s="266" t="s">
        <v>140</v>
      </c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44838</v>
      </c>
      <c r="E6" s="127">
        <v>0.33333333333333331</v>
      </c>
      <c r="F6" s="282">
        <v>0.51041666666666663</v>
      </c>
      <c r="G6" s="227">
        <f t="shared" ref="G6:G37" si="2">(F6-E6)*24</f>
        <v>4.25</v>
      </c>
      <c r="H6" s="282">
        <v>0.54166666666666663</v>
      </c>
      <c r="I6" s="127">
        <v>0.69791666666666663</v>
      </c>
      <c r="J6" s="227">
        <f t="shared" ref="J6:J37" si="3">(I6-H6)*24</f>
        <v>3.75</v>
      </c>
      <c r="K6" s="115">
        <v>8.5</v>
      </c>
      <c r="L6" s="210">
        <f t="shared" si="0"/>
        <v>8</v>
      </c>
      <c r="M6" s="205"/>
      <c r="N6" s="249">
        <f t="shared" si="1"/>
        <v>-0.25</v>
      </c>
      <c r="O6" s="268" t="s">
        <v>72</v>
      </c>
      <c r="P6" s="269">
        <v>4.5</v>
      </c>
      <c r="Q6" s="269" t="s">
        <v>140</v>
      </c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44839</v>
      </c>
      <c r="E7" s="208">
        <v>0.35416666666666669</v>
      </c>
      <c r="F7" s="208">
        <v>0.51041666666666663</v>
      </c>
      <c r="G7" s="132">
        <f t="shared" si="2"/>
        <v>3.7499999999999987</v>
      </c>
      <c r="H7" s="208">
        <v>0.54166666666666663</v>
      </c>
      <c r="I7" s="208">
        <v>0.75</v>
      </c>
      <c r="J7" s="132">
        <f t="shared" si="3"/>
        <v>5.0000000000000009</v>
      </c>
      <c r="K7" s="209">
        <v>8.5</v>
      </c>
      <c r="L7" s="210">
        <f t="shared" si="0"/>
        <v>8.75</v>
      </c>
      <c r="M7" s="211"/>
      <c r="N7" s="249">
        <f t="shared" si="1"/>
        <v>0</v>
      </c>
      <c r="O7" s="267" t="s">
        <v>72</v>
      </c>
      <c r="P7" s="266">
        <v>4.5</v>
      </c>
      <c r="Q7" s="266" t="s">
        <v>397</v>
      </c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44840</v>
      </c>
      <c r="E8" s="127"/>
      <c r="F8" s="282"/>
      <c r="G8" s="227">
        <f t="shared" si="2"/>
        <v>0</v>
      </c>
      <c r="H8" s="282"/>
      <c r="I8" s="127">
        <v>0.35416666666666669</v>
      </c>
      <c r="J8" s="227">
        <f t="shared" si="3"/>
        <v>8.5</v>
      </c>
      <c r="K8" s="115">
        <v>8.5</v>
      </c>
      <c r="L8" s="210">
        <f t="shared" si="0"/>
        <v>8.5</v>
      </c>
      <c r="M8" s="205"/>
      <c r="N8" s="249">
        <f t="shared" si="1"/>
        <v>0</v>
      </c>
      <c r="O8" s="268" t="s">
        <v>216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0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44841</v>
      </c>
      <c r="E9" s="208"/>
      <c r="F9" s="208">
        <v>0.16666666666666666</v>
      </c>
      <c r="G9" s="132">
        <f t="shared" si="2"/>
        <v>4</v>
      </c>
      <c r="H9" s="208">
        <v>0.55208333333333337</v>
      </c>
      <c r="I9" s="208">
        <v>0.75</v>
      </c>
      <c r="J9" s="132">
        <f t="shared" si="3"/>
        <v>4.7499999999999991</v>
      </c>
      <c r="K9" s="209">
        <v>8</v>
      </c>
      <c r="L9" s="210">
        <f t="shared" si="0"/>
        <v>8.7499999999999982</v>
      </c>
      <c r="M9" s="211"/>
      <c r="N9" s="249">
        <f t="shared" si="1"/>
        <v>0.74999999999999822</v>
      </c>
      <c r="O9" s="276" t="s">
        <v>216</v>
      </c>
      <c r="P9" s="277">
        <v>4</v>
      </c>
      <c r="Q9" s="277" t="s">
        <v>397</v>
      </c>
      <c r="R9" s="277"/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44842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/>
      <c r="M10" s="205"/>
      <c r="N10" s="250">
        <f t="shared" si="1"/>
        <v>0.74999999999999822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44843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/>
      <c r="M11" s="205"/>
      <c r="N11" s="250">
        <f t="shared" si="1"/>
        <v>0.74999999999999822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41</v>
      </c>
      <c r="C12" s="125" t="s">
        <v>99</v>
      </c>
      <c r="D12" s="126">
        <v>44844</v>
      </c>
      <c r="E12" s="127">
        <v>0.34375</v>
      </c>
      <c r="F12" s="127">
        <v>0.51041666666666663</v>
      </c>
      <c r="G12" s="227">
        <f t="shared" si="2"/>
        <v>3.9999999999999991</v>
      </c>
      <c r="H12" s="127">
        <v>0.54166666666666663</v>
      </c>
      <c r="I12" s="127">
        <v>0.72916666666666663</v>
      </c>
      <c r="J12" s="227">
        <f t="shared" si="3"/>
        <v>4.5</v>
      </c>
      <c r="K12" s="115">
        <v>8.5</v>
      </c>
      <c r="L12" s="147">
        <f t="shared" si="0"/>
        <v>8.5</v>
      </c>
      <c r="M12" s="205"/>
      <c r="N12" s="250">
        <f t="shared" si="1"/>
        <v>0.74999999999999822</v>
      </c>
      <c r="O12" s="268" t="s">
        <v>72</v>
      </c>
      <c r="P12" s="269">
        <v>4.5</v>
      </c>
      <c r="Q12" s="269" t="s">
        <v>426</v>
      </c>
      <c r="R12" s="269"/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44845</v>
      </c>
      <c r="E13" s="208">
        <v>0.34375</v>
      </c>
      <c r="F13" s="208">
        <v>0.51041666666666663</v>
      </c>
      <c r="G13" s="132">
        <f t="shared" si="2"/>
        <v>3.9999999999999991</v>
      </c>
      <c r="H13" s="208">
        <v>0.54166666666666663</v>
      </c>
      <c r="I13" s="208">
        <v>0.72916666666666663</v>
      </c>
      <c r="J13" s="132">
        <f t="shared" si="3"/>
        <v>4.5</v>
      </c>
      <c r="K13" s="209">
        <v>8.5</v>
      </c>
      <c r="L13" s="210">
        <f t="shared" si="0"/>
        <v>8.5</v>
      </c>
      <c r="M13" s="211"/>
      <c r="N13" s="249">
        <f t="shared" si="1"/>
        <v>0.74999999999999822</v>
      </c>
      <c r="O13" s="267" t="s">
        <v>72</v>
      </c>
      <c r="P13" s="266">
        <v>4.5</v>
      </c>
      <c r="Q13" s="266" t="s">
        <v>426</v>
      </c>
      <c r="R13" s="266"/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44846</v>
      </c>
      <c r="E14" s="127">
        <v>0.34375</v>
      </c>
      <c r="F14" s="127">
        <v>0.51041666666666663</v>
      </c>
      <c r="G14" s="227">
        <f t="shared" si="2"/>
        <v>3.9999999999999991</v>
      </c>
      <c r="H14" s="127">
        <v>0.54166666666666663</v>
      </c>
      <c r="I14" s="127">
        <v>0.72916666666666663</v>
      </c>
      <c r="J14" s="227">
        <f t="shared" si="3"/>
        <v>4.5</v>
      </c>
      <c r="K14" s="115">
        <v>8.5</v>
      </c>
      <c r="L14" s="147">
        <f t="shared" si="0"/>
        <v>8.5</v>
      </c>
      <c r="M14" s="205"/>
      <c r="N14" s="250">
        <f t="shared" si="1"/>
        <v>0.74999999999999822</v>
      </c>
      <c r="O14" s="268" t="s">
        <v>72</v>
      </c>
      <c r="P14" s="269">
        <v>4.5</v>
      </c>
      <c r="Q14" s="269" t="s">
        <v>397</v>
      </c>
      <c r="R14" s="269"/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44847</v>
      </c>
      <c r="E15" s="208"/>
      <c r="F15" s="208"/>
      <c r="G15" s="132">
        <f t="shared" si="2"/>
        <v>0</v>
      </c>
      <c r="H15" s="208"/>
      <c r="I15" s="208">
        <v>0.35416666666666669</v>
      </c>
      <c r="J15" s="132">
        <f t="shared" si="3"/>
        <v>8.5</v>
      </c>
      <c r="K15" s="209">
        <v>8.5</v>
      </c>
      <c r="L15" s="210">
        <f t="shared" si="0"/>
        <v>8.5</v>
      </c>
      <c r="M15" s="211"/>
      <c r="N15" s="249">
        <f t="shared" si="1"/>
        <v>0.74999999999999822</v>
      </c>
      <c r="O15" s="450" t="s">
        <v>216</v>
      </c>
      <c r="P15" s="451">
        <v>8.5</v>
      </c>
      <c r="Q15" s="451"/>
      <c r="R15" s="451"/>
      <c r="S15" s="451"/>
      <c r="T15" s="451"/>
      <c r="U15" s="451"/>
      <c r="V15" s="451"/>
      <c r="W15" s="451"/>
      <c r="X15" s="452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44848</v>
      </c>
      <c r="E16" s="127"/>
      <c r="F16" s="127">
        <v>0.16666666666666666</v>
      </c>
      <c r="G16" s="227">
        <f t="shared" si="2"/>
        <v>4</v>
      </c>
      <c r="H16" s="127">
        <v>0.54166666666666663</v>
      </c>
      <c r="I16" s="127">
        <v>0.67708333333333337</v>
      </c>
      <c r="J16" s="227">
        <f t="shared" si="3"/>
        <v>3.2500000000000018</v>
      </c>
      <c r="K16" s="115">
        <v>8</v>
      </c>
      <c r="L16" s="147">
        <f t="shared" si="0"/>
        <v>7.2500000000000009</v>
      </c>
      <c r="M16" s="205"/>
      <c r="N16" s="250">
        <f t="shared" si="1"/>
        <v>-8.8817841970012523E-16</v>
      </c>
      <c r="O16" s="269" t="s">
        <v>216</v>
      </c>
      <c r="P16" s="269">
        <v>4</v>
      </c>
      <c r="Q16" s="269" t="s">
        <v>397</v>
      </c>
      <c r="R16" s="269"/>
      <c r="S16" s="269"/>
      <c r="T16" s="270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44849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/>
      <c r="M17" s="205"/>
      <c r="N17" s="250">
        <f t="shared" si="1"/>
        <v>-8.8817841970012523E-16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44850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/>
      <c r="M18" s="205"/>
      <c r="N18" s="250">
        <f t="shared" si="1"/>
        <v>-8.8817841970012523E-16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42</v>
      </c>
      <c r="C19" s="206" t="s">
        <v>99</v>
      </c>
      <c r="D19" s="126">
        <v>44851</v>
      </c>
      <c r="E19" s="208">
        <v>0.33333333333333331</v>
      </c>
      <c r="F19" s="208">
        <v>0.51041666666666663</v>
      </c>
      <c r="G19" s="132">
        <f t="shared" si="2"/>
        <v>4.25</v>
      </c>
      <c r="H19" s="208">
        <v>0.54166666666666663</v>
      </c>
      <c r="I19" s="208">
        <v>0.71875</v>
      </c>
      <c r="J19" s="132">
        <f t="shared" si="3"/>
        <v>4.2500000000000009</v>
      </c>
      <c r="K19" s="209">
        <v>8.5</v>
      </c>
      <c r="L19" s="210">
        <f t="shared" si="0"/>
        <v>8.5</v>
      </c>
      <c r="M19" s="211"/>
      <c r="N19" s="249">
        <f t="shared" si="1"/>
        <v>-8.8817841970012523E-16</v>
      </c>
      <c r="O19" s="267" t="s">
        <v>72</v>
      </c>
      <c r="P19" s="266">
        <v>4.5</v>
      </c>
      <c r="Q19" s="266" t="s">
        <v>331</v>
      </c>
      <c r="R19" s="266"/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44852</v>
      </c>
      <c r="E20" s="127">
        <v>0.34375</v>
      </c>
      <c r="F20" s="127">
        <v>0.51041666666666663</v>
      </c>
      <c r="G20" s="227">
        <f t="shared" si="2"/>
        <v>3.9999999999999991</v>
      </c>
      <c r="H20" s="127">
        <v>0.54166666666666663</v>
      </c>
      <c r="I20" s="127">
        <v>0.72916666666666663</v>
      </c>
      <c r="J20" s="227">
        <f t="shared" si="3"/>
        <v>4.5</v>
      </c>
      <c r="K20" s="115">
        <v>8.5</v>
      </c>
      <c r="L20" s="147">
        <f t="shared" si="0"/>
        <v>8.5</v>
      </c>
      <c r="M20" s="205"/>
      <c r="N20" s="250">
        <f t="shared" si="1"/>
        <v>-8.8817841970012523E-16</v>
      </c>
      <c r="O20" s="269" t="s">
        <v>72</v>
      </c>
      <c r="P20" s="269">
        <v>4.5</v>
      </c>
      <c r="Q20" s="269" t="s">
        <v>331</v>
      </c>
      <c r="R20" s="269"/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44853</v>
      </c>
      <c r="E21" s="208">
        <v>0.33333333333333331</v>
      </c>
      <c r="F21" s="208">
        <v>0.51041666666666663</v>
      </c>
      <c r="G21" s="132">
        <f t="shared" si="2"/>
        <v>4.25</v>
      </c>
      <c r="H21" s="208">
        <v>0.54166666666666663</v>
      </c>
      <c r="I21" s="208">
        <v>0.71875</v>
      </c>
      <c r="J21" s="132">
        <f t="shared" si="3"/>
        <v>4.2500000000000009</v>
      </c>
      <c r="K21" s="209">
        <v>8.5</v>
      </c>
      <c r="L21" s="210">
        <f t="shared" si="0"/>
        <v>8.5</v>
      </c>
      <c r="M21" s="211"/>
      <c r="N21" s="249">
        <f t="shared" si="1"/>
        <v>-8.8817841970012523E-16</v>
      </c>
      <c r="O21" s="267" t="s">
        <v>72</v>
      </c>
      <c r="P21" s="266">
        <v>4.5</v>
      </c>
      <c r="Q21" s="266" t="s">
        <v>397</v>
      </c>
      <c r="R21" s="266"/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44854</v>
      </c>
      <c r="E22" s="127"/>
      <c r="F22" s="127"/>
      <c r="G22" s="227">
        <f t="shared" si="2"/>
        <v>0</v>
      </c>
      <c r="H22" s="127"/>
      <c r="I22" s="127">
        <v>0.35416666666666669</v>
      </c>
      <c r="J22" s="227">
        <f t="shared" si="3"/>
        <v>8.5</v>
      </c>
      <c r="K22" s="115">
        <v>8.5</v>
      </c>
      <c r="L22" s="147">
        <f t="shared" si="0"/>
        <v>8.5</v>
      </c>
      <c r="M22" s="205"/>
      <c r="N22" s="250">
        <f t="shared" si="1"/>
        <v>-8.8817841970012523E-16</v>
      </c>
      <c r="O22" s="268" t="s">
        <v>216</v>
      </c>
      <c r="P22" s="269">
        <v>8.5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44855</v>
      </c>
      <c r="E23" s="208"/>
      <c r="F23" s="208">
        <v>0.16666666666666666</v>
      </c>
      <c r="G23" s="132">
        <f t="shared" si="2"/>
        <v>4</v>
      </c>
      <c r="H23" s="208">
        <v>0.54166666666666663</v>
      </c>
      <c r="I23" s="208">
        <v>0.70833333333333337</v>
      </c>
      <c r="J23" s="132">
        <f t="shared" si="3"/>
        <v>4.0000000000000018</v>
      </c>
      <c r="K23" s="209">
        <v>8</v>
      </c>
      <c r="L23" s="210">
        <f t="shared" si="0"/>
        <v>8</v>
      </c>
      <c r="M23" s="211"/>
      <c r="N23" s="249">
        <f t="shared" si="1"/>
        <v>-8.8817841970012523E-16</v>
      </c>
      <c r="O23" s="267" t="s">
        <v>216</v>
      </c>
      <c r="P23" s="266">
        <v>4</v>
      </c>
      <c r="Q23" s="266" t="s">
        <v>331</v>
      </c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44856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/>
      <c r="M24" s="205"/>
      <c r="N24" s="249">
        <f t="shared" si="1"/>
        <v>-8.8817841970012523E-16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44857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/>
      <c r="M25" s="205"/>
      <c r="N25" s="249">
        <f t="shared" si="1"/>
        <v>-8.8817841970012523E-16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43</v>
      </c>
      <c r="C26" s="125" t="s">
        <v>99</v>
      </c>
      <c r="D26" s="126">
        <v>44858</v>
      </c>
      <c r="E26" s="127">
        <v>0.34375</v>
      </c>
      <c r="F26" s="127">
        <v>0.51041666666666663</v>
      </c>
      <c r="G26" s="227">
        <f t="shared" si="2"/>
        <v>3.9999999999999991</v>
      </c>
      <c r="H26" s="127">
        <v>0.54166666666666663</v>
      </c>
      <c r="I26" s="127">
        <v>0.72916666666666663</v>
      </c>
      <c r="J26" s="227">
        <f t="shared" si="3"/>
        <v>4.5</v>
      </c>
      <c r="K26" s="115">
        <v>8.5</v>
      </c>
      <c r="L26" s="147">
        <f t="shared" si="0"/>
        <v>8.5</v>
      </c>
      <c r="M26" s="205"/>
      <c r="N26" s="250">
        <f t="shared" si="1"/>
        <v>-8.8817841970012523E-16</v>
      </c>
      <c r="O26" s="268" t="s">
        <v>72</v>
      </c>
      <c r="P26" s="269">
        <v>4.5</v>
      </c>
      <c r="Q26" s="269" t="s">
        <v>331</v>
      </c>
      <c r="R26" s="269"/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44859</v>
      </c>
      <c r="E27" s="208">
        <v>0.3125</v>
      </c>
      <c r="F27" s="208">
        <v>0.51041666666666663</v>
      </c>
      <c r="G27" s="132">
        <f>(F27-E27)*24</f>
        <v>4.7499999999999991</v>
      </c>
      <c r="H27" s="208">
        <v>0.54166666666666663</v>
      </c>
      <c r="I27" s="208">
        <v>0.69791666666666663</v>
      </c>
      <c r="J27" s="132">
        <f t="shared" si="3"/>
        <v>3.75</v>
      </c>
      <c r="K27" s="209">
        <v>8.5</v>
      </c>
      <c r="L27" s="210">
        <f t="shared" si="0"/>
        <v>8.5</v>
      </c>
      <c r="M27" s="211"/>
      <c r="N27" s="249">
        <f t="shared" si="1"/>
        <v>-8.8817841970012523E-16</v>
      </c>
      <c r="O27" s="267" t="s">
        <v>72</v>
      </c>
      <c r="P27" s="266">
        <v>4.5</v>
      </c>
      <c r="Q27" s="266" t="s">
        <v>331</v>
      </c>
      <c r="R27" s="266"/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44860</v>
      </c>
      <c r="E28" s="127">
        <v>0.33333333333333331</v>
      </c>
      <c r="F28" s="127">
        <v>0.51041666666666663</v>
      </c>
      <c r="G28" s="227">
        <f t="shared" si="2"/>
        <v>4.25</v>
      </c>
      <c r="H28" s="127">
        <v>0.54166666666666663</v>
      </c>
      <c r="I28" s="127">
        <v>0.71875</v>
      </c>
      <c r="J28" s="227">
        <f t="shared" si="3"/>
        <v>4.2500000000000009</v>
      </c>
      <c r="K28" s="115">
        <v>8.5</v>
      </c>
      <c r="L28" s="147">
        <f t="shared" si="0"/>
        <v>8.5</v>
      </c>
      <c r="M28" s="205"/>
      <c r="N28" s="250">
        <f t="shared" si="1"/>
        <v>-8.8817841970012523E-16</v>
      </c>
      <c r="O28" s="268" t="s">
        <v>72</v>
      </c>
      <c r="P28" s="269">
        <v>4.5</v>
      </c>
      <c r="Q28" s="269" t="s">
        <v>397</v>
      </c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44861</v>
      </c>
      <c r="E29" s="208">
        <v>0.34375</v>
      </c>
      <c r="F29" s="208">
        <v>0.51041666666666663</v>
      </c>
      <c r="G29" s="132">
        <f t="shared" si="2"/>
        <v>3.9999999999999991</v>
      </c>
      <c r="H29" s="208">
        <v>0.54166666666666663</v>
      </c>
      <c r="I29" s="208">
        <v>0.72916666666666663</v>
      </c>
      <c r="J29" s="132">
        <f t="shared" si="3"/>
        <v>4.5</v>
      </c>
      <c r="K29" s="209">
        <v>8.5</v>
      </c>
      <c r="L29" s="210">
        <f t="shared" si="0"/>
        <v>8.5</v>
      </c>
      <c r="M29" s="211"/>
      <c r="N29" s="249">
        <f t="shared" si="1"/>
        <v>-8.8817841970012523E-16</v>
      </c>
      <c r="O29" s="267" t="s">
        <v>72</v>
      </c>
      <c r="P29" s="266">
        <v>4.5</v>
      </c>
      <c r="Q29" s="266" t="s">
        <v>426</v>
      </c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44862</v>
      </c>
      <c r="E30" s="127">
        <v>0.33333333333333331</v>
      </c>
      <c r="F30" s="127">
        <v>0.51041666666666663</v>
      </c>
      <c r="G30" s="227">
        <f t="shared" si="2"/>
        <v>4.25</v>
      </c>
      <c r="H30" s="127">
        <v>0.54166666666666663</v>
      </c>
      <c r="I30" s="127">
        <v>0.69791666666666663</v>
      </c>
      <c r="J30" s="227">
        <f t="shared" si="3"/>
        <v>3.75</v>
      </c>
      <c r="K30" s="115">
        <v>8</v>
      </c>
      <c r="L30" s="147">
        <f t="shared" si="0"/>
        <v>8</v>
      </c>
      <c r="M30" s="205"/>
      <c r="N30" s="250">
        <f t="shared" si="1"/>
        <v>-8.8817841970012523E-16</v>
      </c>
      <c r="O30" s="268" t="s">
        <v>72</v>
      </c>
      <c r="P30" s="269">
        <v>4</v>
      </c>
      <c r="Q30" s="269" t="s">
        <v>426</v>
      </c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44863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/>
      <c r="M31" s="205"/>
      <c r="N31" s="250">
        <f t="shared" si="1"/>
        <v>-8.8817841970012523E-16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44864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/>
      <c r="M32" s="205"/>
      <c r="N32" s="250">
        <f t="shared" si="1"/>
        <v>-8.8817841970012523E-16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44</v>
      </c>
      <c r="C33" s="206" t="s">
        <v>99</v>
      </c>
      <c r="D33" s="126">
        <v>44865</v>
      </c>
      <c r="E33" s="208">
        <v>0.33333333333333331</v>
      </c>
      <c r="F33" s="208">
        <v>0.51041666666666663</v>
      </c>
      <c r="G33" s="132">
        <f t="shared" si="2"/>
        <v>4.25</v>
      </c>
      <c r="H33" s="208">
        <v>0.55208333333333337</v>
      </c>
      <c r="I33" s="208">
        <v>0.72916666666666663</v>
      </c>
      <c r="J33" s="132">
        <f t="shared" si="3"/>
        <v>4.2499999999999982</v>
      </c>
      <c r="K33" s="209">
        <v>8.5</v>
      </c>
      <c r="L33" s="210">
        <f t="shared" si="0"/>
        <v>8.5</v>
      </c>
      <c r="M33" s="211"/>
      <c r="N33" s="249">
        <f t="shared" si="1"/>
        <v>-8.8817841970012523E-16</v>
      </c>
      <c r="O33" s="267" t="s">
        <v>72</v>
      </c>
      <c r="P33" s="266">
        <v>4.5</v>
      </c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44866</v>
      </c>
      <c r="E34" s="127"/>
      <c r="F34" s="282"/>
      <c r="G34" s="227">
        <f t="shared" si="2"/>
        <v>0</v>
      </c>
      <c r="H34" s="282"/>
      <c r="I34" s="282"/>
      <c r="J34" s="227">
        <f t="shared" si="3"/>
        <v>0</v>
      </c>
      <c r="K34" s="115">
        <v>8.5</v>
      </c>
      <c r="L34" s="147">
        <f t="shared" si="0"/>
        <v>0</v>
      </c>
      <c r="M34" s="205"/>
      <c r="N34" s="250">
        <f t="shared" si="1"/>
        <v>-8.8817841970012523E-16</v>
      </c>
      <c r="O34" s="268" t="s">
        <v>72</v>
      </c>
      <c r="P34" s="269">
        <v>4.5</v>
      </c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44867</v>
      </c>
      <c r="E35" s="337"/>
      <c r="F35" s="337"/>
      <c r="G35" s="444">
        <f t="shared" si="2"/>
        <v>0</v>
      </c>
      <c r="H35" s="337"/>
      <c r="I35" s="337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-8.8817841970012523E-16</v>
      </c>
      <c r="O35" s="267" t="s">
        <v>72</v>
      </c>
      <c r="P35" s="266">
        <v>4.5</v>
      </c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44868</v>
      </c>
      <c r="E36" s="445"/>
      <c r="F36" s="443"/>
      <c r="G36" s="446">
        <f t="shared" si="2"/>
        <v>0</v>
      </c>
      <c r="H36" s="443"/>
      <c r="I36" s="443"/>
      <c r="J36" s="227">
        <f t="shared" si="3"/>
        <v>0</v>
      </c>
      <c r="K36" s="115">
        <v>8.5</v>
      </c>
      <c r="L36" s="147">
        <f t="shared" si="0"/>
        <v>0</v>
      </c>
      <c r="M36" s="205"/>
      <c r="N36" s="250">
        <f>IF(L36&gt;0,(L36-K36)+N35,+N35)</f>
        <v>-8.8817841970012523E-16</v>
      </c>
      <c r="O36" s="268" t="s">
        <v>216</v>
      </c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44869</v>
      </c>
      <c r="E37" s="337"/>
      <c r="F37" s="337"/>
      <c r="G37" s="444">
        <f t="shared" si="2"/>
        <v>0</v>
      </c>
      <c r="H37" s="337"/>
      <c r="I37" s="337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-8.8817841970012523E-16</v>
      </c>
      <c r="O37" s="267" t="s">
        <v>216</v>
      </c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167.75</v>
      </c>
      <c r="M38" s="135"/>
      <c r="N38" s="135"/>
      <c r="O38" s="186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113.5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0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0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76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37.5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0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 t="s">
        <v>419</v>
      </c>
      <c r="D86" s="142"/>
    </row>
    <row r="87" spans="3:9" x14ac:dyDescent="0.25">
      <c r="C87" s="447"/>
      <c r="D87" s="142"/>
    </row>
    <row r="88" spans="3:9" x14ac:dyDescent="0.25">
      <c r="C88" s="117" t="s">
        <v>420</v>
      </c>
      <c r="D88" s="142"/>
    </row>
    <row r="89" spans="3:9" x14ac:dyDescent="0.25">
      <c r="C89" s="117" t="s">
        <v>421</v>
      </c>
      <c r="D89" s="142"/>
    </row>
    <row r="90" spans="3:9" x14ac:dyDescent="0.25">
      <c r="C90" s="117" t="s">
        <v>422</v>
      </c>
      <c r="D90" s="142"/>
    </row>
    <row r="91" spans="3:9" x14ac:dyDescent="0.25">
      <c r="C91" s="117" t="s">
        <v>423</v>
      </c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5:B9"/>
    <mergeCell ref="B12:B16"/>
    <mergeCell ref="C41:D41"/>
    <mergeCell ref="E41:F41"/>
    <mergeCell ref="C2:X2"/>
    <mergeCell ref="C3:L3"/>
    <mergeCell ref="O4:X4"/>
    <mergeCell ref="B19:B23"/>
    <mergeCell ref="B26:B30"/>
    <mergeCell ref="B33:B36"/>
    <mergeCell ref="C40:D40"/>
    <mergeCell ref="E40:F40"/>
  </mergeCells>
  <conditionalFormatting sqref="D5:D37">
    <cfRule type="expression" dxfId="14" priority="2">
      <formula>D5=TODAY()</formula>
    </cfRule>
    <cfRule type="expression" dxfId="13" priority="3">
      <formula>D5&lt;TODAY()</formula>
    </cfRule>
  </conditionalFormatting>
  <conditionalFormatting sqref="G1">
    <cfRule type="expression" dxfId="12" priority="1">
      <formula>$F$1=$E$1</formula>
    </cfRule>
  </conditionalFormatting>
  <dataValidations disablePrompts="1" count="1">
    <dataValidation type="list" allowBlank="1" showInputMessage="1" showErrorMessage="1" sqref="E38 G38" xr:uid="{00000000-0002-0000-19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ase à cocher 7">
              <controlPr defaultSize="0" autoFill="0" autoLine="0" autoPict="0" macro="[0]!Caseàcocher7_Cliquer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59999389629810485"/>
    <pageSetUpPr fitToPage="1"/>
  </sheetPr>
  <dimension ref="A1:AT1048576"/>
  <sheetViews>
    <sheetView showZeros="0" showRuler="0" topLeftCell="D1" zoomScale="115" zoomScaleNormal="115" zoomScaleSheetLayoutView="100" zoomScalePageLayoutView="70" workbookViewId="0">
      <selection activeCell="N9" sqref="N9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11" style="117" hidden="1" customWidth="1" outlineLevel="1"/>
    <col min="32" max="32" width="15.09765625" style="117" hidden="1" customWidth="1" outlineLevel="1"/>
    <col min="33" max="33" width="11" style="117" hidden="1" customWidth="1" outlineLevel="1"/>
    <col min="34" max="34" width="15.69921875" style="117" hidden="1" customWidth="1" outlineLevel="1"/>
    <col min="35" max="37" width="11" style="117" hidden="1" customWidth="1" outlineLevel="1"/>
    <col min="38" max="38" width="11.8984375" style="117" hidden="1" customWidth="1" outlineLevel="1"/>
    <col min="39" max="39" width="11" style="117" hidden="1" customWidth="1" outlineLevel="1"/>
    <col min="40" max="40" width="14.5" style="117" hidden="1" customWidth="1" outlineLevel="1"/>
    <col min="41" max="41" width="11" style="117" hidden="1" customWidth="1" outlineLevel="1"/>
    <col min="42" max="42" width="11" style="117" collapsed="1"/>
    <col min="43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188,25</v>
      </c>
    </row>
    <row r="5" spans="1:46" ht="16.350000000000001" customHeight="1" thickTop="1" thickBot="1" x14ac:dyDescent="0.35">
      <c r="B5" s="487">
        <f>_xlfn.ISOWEEKNUM(D5)</f>
        <v>52</v>
      </c>
      <c r="C5" s="229" t="s">
        <v>99</v>
      </c>
      <c r="D5" s="126"/>
      <c r="E5" s="231">
        <v>0.29166666666666669</v>
      </c>
      <c r="F5" s="231">
        <v>0.52083333333333337</v>
      </c>
      <c r="G5" s="232">
        <f>(F5-E5)*24</f>
        <v>5.5</v>
      </c>
      <c r="H5" s="231">
        <v>0.54166666666666663</v>
      </c>
      <c r="I5" s="231">
        <v>0.6875</v>
      </c>
      <c r="J5" s="232">
        <f>(I5-H5)*24</f>
        <v>3.5000000000000009</v>
      </c>
      <c r="K5" s="233">
        <v>8.5</v>
      </c>
      <c r="L5" s="210">
        <f t="shared" ref="L5:L37" si="0">(F5-E5+I5-H5)*24</f>
        <v>9.0000000000000036</v>
      </c>
      <c r="M5" s="211"/>
      <c r="N5" s="249">
        <f t="shared" ref="N5:N34" si="1">IF(L5&gt;0,(L5-K5)+N4,+N4)</f>
        <v>0.50000000000000355</v>
      </c>
      <c r="O5" s="267"/>
      <c r="P5" s="266"/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44866</v>
      </c>
      <c r="E6" s="127"/>
      <c r="F6" s="282"/>
      <c r="G6" s="227">
        <f t="shared" ref="G6:G37" si="2">(F6-E6)*24</f>
        <v>0</v>
      </c>
      <c r="H6" s="282"/>
      <c r="I6" s="127">
        <v>0.375</v>
      </c>
      <c r="J6" s="227">
        <f t="shared" ref="J6:J37" si="3">(I6-H6)*24</f>
        <v>9</v>
      </c>
      <c r="K6" s="115">
        <v>8.5</v>
      </c>
      <c r="L6" s="281">
        <f t="shared" si="0"/>
        <v>9</v>
      </c>
      <c r="M6" s="205"/>
      <c r="N6" s="249">
        <f t="shared" si="1"/>
        <v>1.0000000000000036</v>
      </c>
      <c r="O6" s="268" t="s">
        <v>427</v>
      </c>
      <c r="P6" s="269">
        <v>9</v>
      </c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44867</v>
      </c>
      <c r="E7" s="208"/>
      <c r="F7" s="208"/>
      <c r="G7" s="132">
        <f t="shared" si="2"/>
        <v>0</v>
      </c>
      <c r="H7" s="208"/>
      <c r="I7" s="208">
        <v>0.375</v>
      </c>
      <c r="J7" s="132">
        <f t="shared" si="3"/>
        <v>9</v>
      </c>
      <c r="K7" s="209">
        <v>8.5</v>
      </c>
      <c r="L7" s="210">
        <f t="shared" si="0"/>
        <v>9</v>
      </c>
      <c r="M7" s="211"/>
      <c r="N7" s="249">
        <f t="shared" si="1"/>
        <v>1.5000000000000036</v>
      </c>
      <c r="O7" s="267" t="s">
        <v>427</v>
      </c>
      <c r="P7" s="266">
        <v>9</v>
      </c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44868</v>
      </c>
      <c r="E8" s="127"/>
      <c r="F8" s="282"/>
      <c r="G8" s="227">
        <f t="shared" si="2"/>
        <v>0</v>
      </c>
      <c r="H8" s="282"/>
      <c r="I8" s="127">
        <v>0.35416666666666669</v>
      </c>
      <c r="J8" s="227">
        <f t="shared" si="3"/>
        <v>8.5</v>
      </c>
      <c r="K8" s="115">
        <v>8.5</v>
      </c>
      <c r="L8" s="281">
        <f t="shared" si="0"/>
        <v>8.5</v>
      </c>
      <c r="M8" s="205"/>
      <c r="N8" s="249">
        <f t="shared" si="1"/>
        <v>1.5000000000000036</v>
      </c>
      <c r="O8" s="268" t="s">
        <v>216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0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44869</v>
      </c>
      <c r="E9" s="208"/>
      <c r="F9" s="208">
        <v>0.16666666666666666</v>
      </c>
      <c r="G9" s="132">
        <f t="shared" si="2"/>
        <v>4</v>
      </c>
      <c r="H9" s="208">
        <v>0.5625</v>
      </c>
      <c r="I9" s="208">
        <v>0.6875</v>
      </c>
      <c r="J9" s="132">
        <f t="shared" si="3"/>
        <v>3</v>
      </c>
      <c r="K9" s="209">
        <v>8</v>
      </c>
      <c r="L9" s="210">
        <f t="shared" si="0"/>
        <v>6.9999999999999991</v>
      </c>
      <c r="M9" s="211"/>
      <c r="N9" s="249">
        <f t="shared" si="1"/>
        <v>0.50000000000000266</v>
      </c>
      <c r="O9" s="276" t="s">
        <v>216</v>
      </c>
      <c r="P9" s="277">
        <v>4</v>
      </c>
      <c r="Q9" s="277"/>
      <c r="R9" s="277">
        <v>4</v>
      </c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44870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/>
      <c r="M10" s="205"/>
      <c r="N10" s="250">
        <f t="shared" si="1"/>
        <v>0.50000000000000266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44871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/>
      <c r="M11" s="205"/>
      <c r="N11" s="250">
        <f t="shared" si="1"/>
        <v>0.50000000000000266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45</v>
      </c>
      <c r="C12" s="125" t="s">
        <v>99</v>
      </c>
      <c r="D12" s="126">
        <v>44872</v>
      </c>
      <c r="E12" s="127"/>
      <c r="F12" s="127"/>
      <c r="G12" s="227">
        <f t="shared" si="2"/>
        <v>0</v>
      </c>
      <c r="H12" s="127"/>
      <c r="I12" s="127">
        <v>0.375</v>
      </c>
      <c r="J12" s="227">
        <f t="shared" si="3"/>
        <v>9</v>
      </c>
      <c r="K12" s="115">
        <v>8.5</v>
      </c>
      <c r="L12" s="147">
        <f t="shared" si="0"/>
        <v>9</v>
      </c>
      <c r="M12" s="205"/>
      <c r="N12" s="250">
        <f t="shared" si="1"/>
        <v>1.0000000000000027</v>
      </c>
      <c r="O12" s="268" t="s">
        <v>427</v>
      </c>
      <c r="P12" s="269">
        <v>9</v>
      </c>
      <c r="Q12" s="269"/>
      <c r="R12" s="269"/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44873</v>
      </c>
      <c r="E13" s="208"/>
      <c r="F13" s="208"/>
      <c r="G13" s="132">
        <f t="shared" si="2"/>
        <v>0</v>
      </c>
      <c r="H13" s="208"/>
      <c r="I13" s="208">
        <v>0.375</v>
      </c>
      <c r="J13" s="132">
        <f t="shared" si="3"/>
        <v>9</v>
      </c>
      <c r="K13" s="209">
        <v>8.5</v>
      </c>
      <c r="L13" s="210">
        <f t="shared" si="0"/>
        <v>9</v>
      </c>
      <c r="M13" s="211"/>
      <c r="N13" s="249">
        <f t="shared" si="1"/>
        <v>1.5000000000000027</v>
      </c>
      <c r="O13" s="267" t="s">
        <v>427</v>
      </c>
      <c r="P13" s="266">
        <v>9</v>
      </c>
      <c r="Q13" s="266"/>
      <c r="R13" s="266"/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44874</v>
      </c>
      <c r="E14" s="127"/>
      <c r="F14" s="127"/>
      <c r="G14" s="227">
        <f t="shared" si="2"/>
        <v>0</v>
      </c>
      <c r="H14" s="127"/>
      <c r="I14" s="127">
        <v>0.375</v>
      </c>
      <c r="J14" s="227">
        <f t="shared" si="3"/>
        <v>9</v>
      </c>
      <c r="K14" s="115">
        <v>8.5</v>
      </c>
      <c r="L14" s="147">
        <f t="shared" si="0"/>
        <v>9</v>
      </c>
      <c r="M14" s="205"/>
      <c r="N14" s="250">
        <f t="shared" si="1"/>
        <v>2.0000000000000027</v>
      </c>
      <c r="O14" s="268" t="s">
        <v>427</v>
      </c>
      <c r="P14" s="269">
        <v>9</v>
      </c>
      <c r="Q14" s="269"/>
      <c r="R14" s="269"/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44875</v>
      </c>
      <c r="E15" s="208"/>
      <c r="F15" s="208"/>
      <c r="G15" s="132">
        <f t="shared" si="2"/>
        <v>0</v>
      </c>
      <c r="H15" s="208"/>
      <c r="I15" s="208">
        <v>0.35416666666666669</v>
      </c>
      <c r="J15" s="132">
        <f t="shared" si="3"/>
        <v>8.5</v>
      </c>
      <c r="K15" s="209">
        <v>8.5</v>
      </c>
      <c r="L15" s="210">
        <f t="shared" si="0"/>
        <v>8.5</v>
      </c>
      <c r="M15" s="211"/>
      <c r="N15" s="249">
        <f t="shared" si="1"/>
        <v>2.0000000000000027</v>
      </c>
      <c r="O15" s="450" t="s">
        <v>216</v>
      </c>
      <c r="P15" s="451">
        <v>8.5</v>
      </c>
      <c r="Q15" s="451"/>
      <c r="R15" s="451"/>
      <c r="S15" s="451"/>
      <c r="T15" s="451"/>
      <c r="U15" s="451"/>
      <c r="V15" s="451"/>
      <c r="W15" s="451"/>
      <c r="X15" s="452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44876</v>
      </c>
      <c r="E16" s="127"/>
      <c r="F16" s="127">
        <v>0.16666666666666666</v>
      </c>
      <c r="G16" s="227">
        <f t="shared" si="2"/>
        <v>4</v>
      </c>
      <c r="H16" s="127">
        <v>0.5625</v>
      </c>
      <c r="I16" s="127">
        <v>0.66666666666666663</v>
      </c>
      <c r="J16" s="227">
        <f t="shared" si="3"/>
        <v>2.4999999999999991</v>
      </c>
      <c r="K16" s="115">
        <v>8</v>
      </c>
      <c r="L16" s="147">
        <f t="shared" si="0"/>
        <v>6.4999999999999982</v>
      </c>
      <c r="M16" s="205"/>
      <c r="N16" s="250">
        <f t="shared" si="1"/>
        <v>0.50000000000000089</v>
      </c>
      <c r="O16" s="269" t="s">
        <v>216</v>
      </c>
      <c r="P16" s="269">
        <v>4</v>
      </c>
      <c r="Q16" s="269"/>
      <c r="R16" s="269">
        <v>4</v>
      </c>
      <c r="S16" s="269"/>
      <c r="T16" s="270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44877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/>
      <c r="M17" s="205"/>
      <c r="N17" s="250">
        <f t="shared" si="1"/>
        <v>0.50000000000000089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44878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/>
      <c r="M18" s="205"/>
      <c r="N18" s="250">
        <f t="shared" si="1"/>
        <v>0.50000000000000089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46</v>
      </c>
      <c r="C19" s="206" t="s">
        <v>99</v>
      </c>
      <c r="D19" s="126">
        <v>44879</v>
      </c>
      <c r="E19" s="208"/>
      <c r="F19" s="208"/>
      <c r="G19" s="132">
        <f t="shared" si="2"/>
        <v>0</v>
      </c>
      <c r="H19" s="208"/>
      <c r="I19" s="231">
        <v>0.375</v>
      </c>
      <c r="J19" s="132">
        <f t="shared" si="3"/>
        <v>9</v>
      </c>
      <c r="K19" s="209">
        <v>8.5</v>
      </c>
      <c r="L19" s="210">
        <f t="shared" si="0"/>
        <v>9</v>
      </c>
      <c r="M19" s="211"/>
      <c r="N19" s="249">
        <f t="shared" si="1"/>
        <v>1.0000000000000009</v>
      </c>
      <c r="O19" s="267" t="s">
        <v>427</v>
      </c>
      <c r="P19" s="266">
        <v>9</v>
      </c>
      <c r="Q19" s="266"/>
      <c r="R19" s="266"/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44880</v>
      </c>
      <c r="E20" s="127"/>
      <c r="F20" s="127"/>
      <c r="G20" s="227">
        <f t="shared" si="2"/>
        <v>0</v>
      </c>
      <c r="H20" s="127"/>
      <c r="I20" s="127">
        <v>0.375</v>
      </c>
      <c r="J20" s="227">
        <f t="shared" si="3"/>
        <v>9</v>
      </c>
      <c r="K20" s="115">
        <v>8.5</v>
      </c>
      <c r="L20" s="147">
        <f t="shared" si="0"/>
        <v>9</v>
      </c>
      <c r="M20" s="205"/>
      <c r="N20" s="250">
        <f t="shared" si="1"/>
        <v>1.5000000000000009</v>
      </c>
      <c r="O20" s="269" t="s">
        <v>427</v>
      </c>
      <c r="P20" s="269">
        <v>9</v>
      </c>
      <c r="Q20" s="269"/>
      <c r="R20" s="269"/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44881</v>
      </c>
      <c r="E21" s="208"/>
      <c r="F21" s="208"/>
      <c r="G21" s="132">
        <f t="shared" si="2"/>
        <v>0</v>
      </c>
      <c r="H21" s="208"/>
      <c r="I21" s="208">
        <v>0.375</v>
      </c>
      <c r="J21" s="132">
        <f t="shared" si="3"/>
        <v>9</v>
      </c>
      <c r="K21" s="209">
        <v>8.5</v>
      </c>
      <c r="L21" s="210">
        <f t="shared" si="0"/>
        <v>9</v>
      </c>
      <c r="M21" s="211"/>
      <c r="N21" s="249">
        <f t="shared" si="1"/>
        <v>2.0000000000000009</v>
      </c>
      <c r="O21" s="267" t="s">
        <v>427</v>
      </c>
      <c r="P21" s="266">
        <v>9</v>
      </c>
      <c r="Q21" s="266"/>
      <c r="R21" s="266"/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44882</v>
      </c>
      <c r="E22" s="127"/>
      <c r="F22" s="127"/>
      <c r="G22" s="227">
        <f t="shared" si="2"/>
        <v>0</v>
      </c>
      <c r="H22" s="127"/>
      <c r="I22" s="127">
        <v>0.35416666666666669</v>
      </c>
      <c r="J22" s="227">
        <f t="shared" si="3"/>
        <v>8.5</v>
      </c>
      <c r="K22" s="115">
        <v>8.5</v>
      </c>
      <c r="L22" s="147">
        <f t="shared" si="0"/>
        <v>8.5</v>
      </c>
      <c r="M22" s="205"/>
      <c r="N22" s="250">
        <f t="shared" si="1"/>
        <v>2.0000000000000009</v>
      </c>
      <c r="O22" s="268" t="s">
        <v>216</v>
      </c>
      <c r="P22" s="269">
        <v>8.5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44883</v>
      </c>
      <c r="E23" s="208"/>
      <c r="F23" s="208">
        <v>0.16666666666666666</v>
      </c>
      <c r="G23" s="132">
        <f t="shared" si="2"/>
        <v>4</v>
      </c>
      <c r="H23" s="208">
        <v>0.5625</v>
      </c>
      <c r="I23" s="208">
        <v>0.73958333333333337</v>
      </c>
      <c r="J23" s="132">
        <f t="shared" si="3"/>
        <v>4.2500000000000009</v>
      </c>
      <c r="K23" s="209">
        <v>8</v>
      </c>
      <c r="L23" s="210">
        <f t="shared" si="0"/>
        <v>8.25</v>
      </c>
      <c r="M23" s="211"/>
      <c r="N23" s="249">
        <f t="shared" si="1"/>
        <v>2.2500000000000009</v>
      </c>
      <c r="O23" s="267" t="s">
        <v>216</v>
      </c>
      <c r="P23" s="266">
        <v>4</v>
      </c>
      <c r="Q23" s="266"/>
      <c r="R23" s="266">
        <v>4</v>
      </c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44884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/>
      <c r="M24" s="205"/>
      <c r="N24" s="249">
        <f t="shared" si="1"/>
        <v>2.2500000000000009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44885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/>
      <c r="M25" s="205"/>
      <c r="N25" s="249">
        <f t="shared" si="1"/>
        <v>2.2500000000000009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47</v>
      </c>
      <c r="C26" s="125" t="s">
        <v>99</v>
      </c>
      <c r="D26" s="126">
        <v>44886</v>
      </c>
      <c r="E26" s="127"/>
      <c r="F26" s="127"/>
      <c r="G26" s="227">
        <f t="shared" si="2"/>
        <v>0</v>
      </c>
      <c r="H26" s="127"/>
      <c r="I26" s="127">
        <v>0.375</v>
      </c>
      <c r="J26" s="227">
        <f t="shared" si="3"/>
        <v>9</v>
      </c>
      <c r="K26" s="115">
        <v>8.5</v>
      </c>
      <c r="L26" s="147">
        <f t="shared" si="0"/>
        <v>9</v>
      </c>
      <c r="M26" s="205"/>
      <c r="N26" s="250">
        <f t="shared" si="1"/>
        <v>2.7500000000000009</v>
      </c>
      <c r="O26" s="268" t="s">
        <v>427</v>
      </c>
      <c r="P26" s="269">
        <v>9</v>
      </c>
      <c r="Q26" s="269"/>
      <c r="R26" s="269"/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44887</v>
      </c>
      <c r="E27" s="208"/>
      <c r="F27" s="208"/>
      <c r="G27" s="132">
        <f>(F27-E27)*24</f>
        <v>0</v>
      </c>
      <c r="H27" s="208"/>
      <c r="I27" s="208">
        <v>0.375</v>
      </c>
      <c r="J27" s="132">
        <f t="shared" si="3"/>
        <v>9</v>
      </c>
      <c r="K27" s="209">
        <v>8.5</v>
      </c>
      <c r="L27" s="210">
        <f t="shared" si="0"/>
        <v>9</v>
      </c>
      <c r="M27" s="211"/>
      <c r="N27" s="249">
        <f t="shared" si="1"/>
        <v>3.2500000000000009</v>
      </c>
      <c r="O27" s="267" t="s">
        <v>427</v>
      </c>
      <c r="P27" s="266">
        <v>9</v>
      </c>
      <c r="Q27" s="266"/>
      <c r="R27" s="266"/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44888</v>
      </c>
      <c r="E28" s="127"/>
      <c r="F28" s="127"/>
      <c r="G28" s="227">
        <f t="shared" si="2"/>
        <v>0</v>
      </c>
      <c r="H28" s="127"/>
      <c r="I28" s="127">
        <v>0.375</v>
      </c>
      <c r="J28" s="227">
        <f t="shared" si="3"/>
        <v>9</v>
      </c>
      <c r="K28" s="115">
        <v>8.5</v>
      </c>
      <c r="L28" s="147">
        <f t="shared" si="0"/>
        <v>9</v>
      </c>
      <c r="M28" s="205"/>
      <c r="N28" s="250">
        <f t="shared" si="1"/>
        <v>3.7500000000000009</v>
      </c>
      <c r="O28" s="268" t="s">
        <v>427</v>
      </c>
      <c r="P28" s="269">
        <v>9</v>
      </c>
      <c r="Q28" s="269"/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44889</v>
      </c>
      <c r="E29" s="208"/>
      <c r="F29" s="208"/>
      <c r="G29" s="132">
        <f t="shared" si="2"/>
        <v>0</v>
      </c>
      <c r="H29" s="208"/>
      <c r="I29" s="208">
        <v>0.35416666666666669</v>
      </c>
      <c r="J29" s="132">
        <f t="shared" si="3"/>
        <v>8.5</v>
      </c>
      <c r="K29" s="209">
        <v>8.5</v>
      </c>
      <c r="L29" s="210">
        <f t="shared" si="0"/>
        <v>8.5</v>
      </c>
      <c r="M29" s="211"/>
      <c r="N29" s="249">
        <f t="shared" si="1"/>
        <v>3.7500000000000009</v>
      </c>
      <c r="O29" s="267" t="s">
        <v>216</v>
      </c>
      <c r="P29" s="266">
        <v>8.5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44890</v>
      </c>
      <c r="E30" s="127"/>
      <c r="F30" s="127">
        <v>0.16666666666666666</v>
      </c>
      <c r="G30" s="227">
        <f t="shared" si="2"/>
        <v>4</v>
      </c>
      <c r="H30" s="127">
        <v>0.54166666666666663</v>
      </c>
      <c r="I30" s="127">
        <v>0.70833333333333337</v>
      </c>
      <c r="J30" s="227">
        <f t="shared" si="3"/>
        <v>4.0000000000000018</v>
      </c>
      <c r="K30" s="115">
        <v>8</v>
      </c>
      <c r="L30" s="147">
        <f t="shared" si="0"/>
        <v>8</v>
      </c>
      <c r="M30" s="205"/>
      <c r="N30" s="250">
        <f t="shared" si="1"/>
        <v>3.7500000000000009</v>
      </c>
      <c r="O30" s="268" t="s">
        <v>216</v>
      </c>
      <c r="P30" s="269">
        <v>4</v>
      </c>
      <c r="Q30" s="269"/>
      <c r="R30" s="269">
        <v>4</v>
      </c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44891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/>
      <c r="M31" s="205"/>
      <c r="N31" s="250">
        <f t="shared" si="1"/>
        <v>3.7500000000000009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44892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/>
      <c r="M32" s="205"/>
      <c r="N32" s="250">
        <f t="shared" si="1"/>
        <v>3.7500000000000009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48</v>
      </c>
      <c r="C33" s="206" t="s">
        <v>99</v>
      </c>
      <c r="D33" s="126">
        <v>44893</v>
      </c>
      <c r="E33" s="208"/>
      <c r="F33" s="208"/>
      <c r="G33" s="132">
        <f t="shared" si="2"/>
        <v>0</v>
      </c>
      <c r="H33" s="208"/>
      <c r="I33" s="231">
        <v>0.35416666666666669</v>
      </c>
      <c r="J33" s="132">
        <f t="shared" si="3"/>
        <v>8.5</v>
      </c>
      <c r="K33" s="209">
        <v>8.5</v>
      </c>
      <c r="L33" s="210">
        <f t="shared" si="0"/>
        <v>8.5</v>
      </c>
      <c r="M33" s="211"/>
      <c r="N33" s="249">
        <f t="shared" si="1"/>
        <v>3.7500000000000009</v>
      </c>
      <c r="O33" s="267" t="s">
        <v>427</v>
      </c>
      <c r="P33" s="266">
        <v>9</v>
      </c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44894</v>
      </c>
      <c r="E34" s="127"/>
      <c r="F34" s="282"/>
      <c r="G34" s="227">
        <f t="shared" si="2"/>
        <v>0</v>
      </c>
      <c r="H34" s="282"/>
      <c r="I34" s="127">
        <v>0.35416666666666669</v>
      </c>
      <c r="J34" s="227">
        <f t="shared" si="3"/>
        <v>8.5</v>
      </c>
      <c r="K34" s="115">
        <v>8.5</v>
      </c>
      <c r="L34" s="147">
        <f t="shared" si="0"/>
        <v>8.5</v>
      </c>
      <c r="M34" s="205"/>
      <c r="N34" s="250">
        <f t="shared" si="1"/>
        <v>3.7500000000000009</v>
      </c>
      <c r="O34" s="268" t="s">
        <v>427</v>
      </c>
      <c r="P34" s="269">
        <v>9</v>
      </c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44895</v>
      </c>
      <c r="E35" s="337"/>
      <c r="F35" s="337"/>
      <c r="G35" s="444">
        <f t="shared" si="2"/>
        <v>0</v>
      </c>
      <c r="H35" s="337"/>
      <c r="I35" s="208">
        <v>0.35416666666666669</v>
      </c>
      <c r="J35" s="132">
        <f t="shared" si="3"/>
        <v>8.5</v>
      </c>
      <c r="K35" s="221">
        <v>8.5</v>
      </c>
      <c r="L35" s="210">
        <f t="shared" si="0"/>
        <v>8.5</v>
      </c>
      <c r="M35" s="211"/>
      <c r="N35" s="249">
        <f>IF(L35&gt;0,(L35-K35)+N34,+N34)</f>
        <v>3.7500000000000009</v>
      </c>
      <c r="O35" s="267" t="s">
        <v>427</v>
      </c>
      <c r="P35" s="266">
        <v>9</v>
      </c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44896</v>
      </c>
      <c r="E36" s="445"/>
      <c r="F36" s="443"/>
      <c r="G36" s="446">
        <f t="shared" si="2"/>
        <v>0</v>
      </c>
      <c r="H36" s="443"/>
      <c r="I36" s="127"/>
      <c r="J36" s="227">
        <f t="shared" si="3"/>
        <v>0</v>
      </c>
      <c r="K36" s="115">
        <v>8.5</v>
      </c>
      <c r="L36" s="147">
        <f t="shared" si="0"/>
        <v>0</v>
      </c>
      <c r="M36" s="205"/>
      <c r="N36" s="250">
        <f>IF(L36&gt;0,(L36-K36)+N35,+N35)</f>
        <v>3.7500000000000009</v>
      </c>
      <c r="O36" s="268"/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44897</v>
      </c>
      <c r="E37" s="337"/>
      <c r="F37" s="337"/>
      <c r="G37" s="444">
        <f t="shared" si="2"/>
        <v>0</v>
      </c>
      <c r="H37" s="337"/>
      <c r="I37" s="337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3.7500000000000009</v>
      </c>
      <c r="O37" s="267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188.25</v>
      </c>
      <c r="M38" s="135"/>
      <c r="N38" s="135"/>
      <c r="O38" s="186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50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0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0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0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50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0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 t="s">
        <v>419</v>
      </c>
      <c r="D86" s="142"/>
    </row>
    <row r="87" spans="3:9" x14ac:dyDescent="0.25">
      <c r="C87" s="447"/>
      <c r="D87" s="142"/>
    </row>
    <row r="88" spans="3:9" x14ac:dyDescent="0.25">
      <c r="C88" s="117" t="s">
        <v>420</v>
      </c>
      <c r="D88" s="142"/>
    </row>
    <row r="89" spans="3:9" x14ac:dyDescent="0.25">
      <c r="C89" s="117" t="s">
        <v>421</v>
      </c>
      <c r="D89" s="142"/>
    </row>
    <row r="90" spans="3:9" x14ac:dyDescent="0.25">
      <c r="C90" s="117" t="s">
        <v>422</v>
      </c>
      <c r="D90" s="142"/>
    </row>
    <row r="91" spans="3:9" x14ac:dyDescent="0.25">
      <c r="C91" s="117" t="s">
        <v>423</v>
      </c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11" priority="2">
      <formula>D5=TODAY()</formula>
    </cfRule>
    <cfRule type="expression" dxfId="10" priority="3">
      <formula>D5&lt;TODAY()</formula>
    </cfRule>
  </conditionalFormatting>
  <conditionalFormatting sqref="G1">
    <cfRule type="expression" dxfId="9" priority="1">
      <formula>$F$1=$E$1</formula>
    </cfRule>
  </conditionalFormatting>
  <dataValidations disablePrompts="1" count="1">
    <dataValidation type="list" allowBlank="1" showInputMessage="1" showErrorMessage="1" sqref="E38 G38" xr:uid="{00000000-0002-0000-1A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ase à cocher 7">
              <controlPr defaultSize="0" autoFill="0" autoLine="0" autoPict="0" macro="[0]!Caseàcocher7_Cliquer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Check Box 14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Check Box 15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9179-317B-4F77-8790-7EF3CFD2E2A1}">
  <sheetPr>
    <tabColor theme="5" tint="0.59999389629810485"/>
    <pageSetUpPr fitToPage="1"/>
  </sheetPr>
  <dimension ref="A1:AT1048576"/>
  <sheetViews>
    <sheetView showZeros="0" showRuler="0" topLeftCell="A15" zoomScale="115" zoomScaleNormal="115" zoomScaleSheetLayoutView="100" zoomScalePageLayoutView="70" workbookViewId="0">
      <selection activeCell="I20" sqref="I20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11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114,25</v>
      </c>
    </row>
    <row r="5" spans="1:46" ht="16.350000000000001" customHeight="1" thickTop="1" thickBot="1" x14ac:dyDescent="0.35">
      <c r="B5" s="487">
        <f>_xlfn.ISOWEEKNUM(D5)</f>
        <v>48</v>
      </c>
      <c r="C5" s="229" t="s">
        <v>99</v>
      </c>
      <c r="D5" s="126">
        <v>44893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10">
        <f t="shared" ref="L5:L37" si="0">(F5-E5+I5-H5)*24</f>
        <v>0</v>
      </c>
      <c r="M5" s="211"/>
      <c r="N5" s="249">
        <f t="shared" ref="N5:N34" si="1">IF(L5&gt;0,(L5-K5)+N4,+N4)</f>
        <v>0</v>
      </c>
      <c r="O5" s="267"/>
      <c r="P5" s="266"/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44894</v>
      </c>
      <c r="E6" s="127"/>
      <c r="F6" s="282"/>
      <c r="G6" s="227">
        <f t="shared" ref="G6:G37" si="2">(F6-E6)*24</f>
        <v>0</v>
      </c>
      <c r="H6" s="282"/>
      <c r="I6" s="127"/>
      <c r="J6" s="227">
        <f t="shared" ref="J6:J37" si="3">(I6-H6)*24</f>
        <v>0</v>
      </c>
      <c r="K6" s="115">
        <v>8.5</v>
      </c>
      <c r="L6" s="281">
        <f t="shared" si="0"/>
        <v>0</v>
      </c>
      <c r="M6" s="205"/>
      <c r="N6" s="249">
        <f t="shared" si="1"/>
        <v>0</v>
      </c>
      <c r="O6" s="268"/>
      <c r="P6" s="269"/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44895</v>
      </c>
      <c r="E7" s="208"/>
      <c r="F7" s="208"/>
      <c r="G7" s="132">
        <f t="shared" si="2"/>
        <v>0</v>
      </c>
      <c r="H7" s="208"/>
      <c r="I7" s="208"/>
      <c r="J7" s="132">
        <f t="shared" si="3"/>
        <v>0</v>
      </c>
      <c r="K7" s="209">
        <v>8.5</v>
      </c>
      <c r="L7" s="210">
        <f t="shared" si="0"/>
        <v>0</v>
      </c>
      <c r="M7" s="211"/>
      <c r="N7" s="249">
        <f t="shared" si="1"/>
        <v>0</v>
      </c>
      <c r="O7" s="267"/>
      <c r="P7" s="266"/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44896</v>
      </c>
      <c r="E8" s="127"/>
      <c r="F8" s="282"/>
      <c r="G8" s="227">
        <f t="shared" si="2"/>
        <v>0</v>
      </c>
      <c r="H8" s="282"/>
      <c r="I8" s="127"/>
      <c r="J8" s="227">
        <f t="shared" si="3"/>
        <v>0</v>
      </c>
      <c r="K8" s="115">
        <v>8.5</v>
      </c>
      <c r="L8" s="281">
        <f t="shared" si="0"/>
        <v>0</v>
      </c>
      <c r="M8" s="205"/>
      <c r="N8" s="249">
        <f t="shared" si="1"/>
        <v>0</v>
      </c>
      <c r="O8" s="268" t="s">
        <v>216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0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44897</v>
      </c>
      <c r="E9" s="208"/>
      <c r="F9" s="208">
        <v>0.16666666666666666</v>
      </c>
      <c r="G9" s="132">
        <f t="shared" si="2"/>
        <v>4</v>
      </c>
      <c r="H9" s="208">
        <v>0.54166666666666663</v>
      </c>
      <c r="I9" s="208">
        <v>0.70833333333333337</v>
      </c>
      <c r="J9" s="132">
        <f t="shared" si="3"/>
        <v>4.0000000000000018</v>
      </c>
      <c r="K9" s="209">
        <v>8</v>
      </c>
      <c r="L9" s="210">
        <f t="shared" si="0"/>
        <v>8</v>
      </c>
      <c r="M9" s="211"/>
      <c r="N9" s="249">
        <f t="shared" si="1"/>
        <v>0</v>
      </c>
      <c r="O9" s="276" t="s">
        <v>216</v>
      </c>
      <c r="P9" s="277">
        <v>4</v>
      </c>
      <c r="Q9" s="277" t="s">
        <v>139</v>
      </c>
      <c r="R9" s="277">
        <v>4</v>
      </c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44898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/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44899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/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49</v>
      </c>
      <c r="C12" s="125" t="s">
        <v>99</v>
      </c>
      <c r="D12" s="126">
        <v>44900</v>
      </c>
      <c r="E12" s="127">
        <v>0.32291666666666669</v>
      </c>
      <c r="F12" s="127">
        <v>0.51041666666666663</v>
      </c>
      <c r="G12" s="227">
        <f t="shared" si="2"/>
        <v>4.4999999999999982</v>
      </c>
      <c r="H12" s="127">
        <v>0.54166666666666663</v>
      </c>
      <c r="I12" s="127">
        <v>0.70833333333333337</v>
      </c>
      <c r="J12" s="227">
        <f t="shared" si="3"/>
        <v>4.0000000000000018</v>
      </c>
      <c r="K12" s="115">
        <v>8.5</v>
      </c>
      <c r="L12" s="147">
        <f t="shared" si="0"/>
        <v>8.5</v>
      </c>
      <c r="M12" s="205"/>
      <c r="N12" s="250">
        <f t="shared" si="1"/>
        <v>0</v>
      </c>
      <c r="O12" s="268"/>
      <c r="P12" s="269"/>
      <c r="Q12" s="269" t="s">
        <v>139</v>
      </c>
      <c r="R12" s="269">
        <v>4</v>
      </c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44901</v>
      </c>
      <c r="E13" s="208">
        <v>0.33333333333333331</v>
      </c>
      <c r="F13" s="208">
        <v>0.51041666666666663</v>
      </c>
      <c r="G13" s="132">
        <f t="shared" si="2"/>
        <v>4.25</v>
      </c>
      <c r="H13" s="208">
        <v>0.54166666666666663</v>
      </c>
      <c r="I13" s="208">
        <v>0.71875</v>
      </c>
      <c r="J13" s="132">
        <f t="shared" si="3"/>
        <v>4.2500000000000009</v>
      </c>
      <c r="K13" s="209">
        <v>8.5</v>
      </c>
      <c r="L13" s="210">
        <f t="shared" si="0"/>
        <v>8.5</v>
      </c>
      <c r="M13" s="211"/>
      <c r="N13" s="249">
        <f t="shared" si="1"/>
        <v>0</v>
      </c>
      <c r="O13" s="267"/>
      <c r="P13" s="266"/>
      <c r="Q13" s="266" t="s">
        <v>139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44902</v>
      </c>
      <c r="E14" s="127">
        <v>0.33333333333333331</v>
      </c>
      <c r="F14" s="127">
        <v>0.51041666666666663</v>
      </c>
      <c r="G14" s="227">
        <f t="shared" si="2"/>
        <v>4.25</v>
      </c>
      <c r="H14" s="127">
        <v>0.54166666666666663</v>
      </c>
      <c r="I14" s="127">
        <v>0.71875</v>
      </c>
      <c r="J14" s="227">
        <f t="shared" si="3"/>
        <v>4.2500000000000009</v>
      </c>
      <c r="K14" s="115">
        <v>8.5</v>
      </c>
      <c r="L14" s="147">
        <f t="shared" si="0"/>
        <v>8.5</v>
      </c>
      <c r="M14" s="205"/>
      <c r="N14" s="250">
        <f t="shared" si="1"/>
        <v>0</v>
      </c>
      <c r="O14" s="268"/>
      <c r="P14" s="269"/>
      <c r="Q14" s="269" t="s">
        <v>295</v>
      </c>
      <c r="R14" s="269">
        <v>4</v>
      </c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44903</v>
      </c>
      <c r="E15" s="208"/>
      <c r="F15" s="208"/>
      <c r="G15" s="132">
        <f t="shared" si="2"/>
        <v>0</v>
      </c>
      <c r="H15" s="208"/>
      <c r="I15" s="208">
        <v>0.35416666666666669</v>
      </c>
      <c r="J15" s="132">
        <f t="shared" si="3"/>
        <v>8.5</v>
      </c>
      <c r="K15" s="209">
        <v>8.5</v>
      </c>
      <c r="L15" s="210">
        <f t="shared" si="0"/>
        <v>8.5</v>
      </c>
      <c r="M15" s="211"/>
      <c r="N15" s="249">
        <f t="shared" si="1"/>
        <v>0</v>
      </c>
      <c r="O15" s="450" t="s">
        <v>216</v>
      </c>
      <c r="P15" s="451">
        <v>8.5</v>
      </c>
      <c r="Q15" s="451"/>
      <c r="R15" s="451"/>
      <c r="S15" s="451"/>
      <c r="T15" s="451"/>
      <c r="U15" s="451"/>
      <c r="V15" s="451"/>
      <c r="W15" s="451"/>
      <c r="X15" s="452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44904</v>
      </c>
      <c r="E16" s="127"/>
      <c r="F16" s="127">
        <v>0.16666666666666666</v>
      </c>
      <c r="G16" s="227">
        <f t="shared" si="2"/>
        <v>4</v>
      </c>
      <c r="H16" s="127"/>
      <c r="I16" s="127"/>
      <c r="J16" s="227">
        <f t="shared" si="3"/>
        <v>0</v>
      </c>
      <c r="K16" s="115">
        <v>8</v>
      </c>
      <c r="L16" s="147">
        <f t="shared" si="0"/>
        <v>4</v>
      </c>
      <c r="M16" s="205"/>
      <c r="N16" s="250">
        <f t="shared" si="1"/>
        <v>-4</v>
      </c>
      <c r="O16" s="269" t="s">
        <v>216</v>
      </c>
      <c r="P16" s="269">
        <v>4</v>
      </c>
      <c r="Q16" s="269"/>
      <c r="R16" s="269"/>
      <c r="S16" s="269"/>
      <c r="T16" s="270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44905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/>
      <c r="M17" s="205"/>
      <c r="N17" s="250">
        <f t="shared" si="1"/>
        <v>-4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44906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/>
      <c r="M18" s="205"/>
      <c r="N18" s="250">
        <f t="shared" si="1"/>
        <v>-4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50</v>
      </c>
      <c r="C19" s="206" t="s">
        <v>99</v>
      </c>
      <c r="D19" s="126">
        <v>44907</v>
      </c>
      <c r="E19" s="208">
        <v>0.33333333333333331</v>
      </c>
      <c r="F19" s="208">
        <v>0.52083333333333337</v>
      </c>
      <c r="G19" s="132">
        <f t="shared" si="2"/>
        <v>4.5000000000000018</v>
      </c>
      <c r="H19" s="208">
        <v>0.55208333333333337</v>
      </c>
      <c r="I19" s="208">
        <v>0.77083333333333337</v>
      </c>
      <c r="J19" s="132">
        <f t="shared" si="3"/>
        <v>5.25</v>
      </c>
      <c r="K19" s="209">
        <v>8.5</v>
      </c>
      <c r="L19" s="210">
        <f t="shared" si="0"/>
        <v>9.7500000000000036</v>
      </c>
      <c r="M19" s="211"/>
      <c r="N19" s="249">
        <f t="shared" si="1"/>
        <v>-2.7499999999999964</v>
      </c>
      <c r="O19" s="267"/>
      <c r="P19" s="266"/>
      <c r="Q19" s="266" t="s">
        <v>250</v>
      </c>
      <c r="R19" s="266">
        <v>4</v>
      </c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44908</v>
      </c>
      <c r="E20" s="127">
        <v>0.29166666666666669</v>
      </c>
      <c r="F20" s="127">
        <v>0.51041666666666663</v>
      </c>
      <c r="G20" s="227">
        <f t="shared" si="2"/>
        <v>5.2499999999999982</v>
      </c>
      <c r="H20" s="127">
        <v>0.55208333333333337</v>
      </c>
      <c r="I20" s="127">
        <v>0.69791666666666663</v>
      </c>
      <c r="J20" s="227">
        <f t="shared" si="3"/>
        <v>3.4999999999999982</v>
      </c>
      <c r="K20" s="115">
        <v>8.5</v>
      </c>
      <c r="L20" s="147">
        <f t="shared" si="0"/>
        <v>8.7499999999999964</v>
      </c>
      <c r="M20" s="205"/>
      <c r="N20" s="250">
        <f t="shared" si="1"/>
        <v>-2.5</v>
      </c>
      <c r="O20" s="269"/>
      <c r="P20" s="269"/>
      <c r="Q20" s="269" t="s">
        <v>250</v>
      </c>
      <c r="R20" s="269">
        <v>4</v>
      </c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44909</v>
      </c>
      <c r="E21" s="208">
        <v>0.32291666666666669</v>
      </c>
      <c r="F21" s="208">
        <v>0.51041666666666663</v>
      </c>
      <c r="G21" s="132">
        <f t="shared" si="2"/>
        <v>4.4999999999999982</v>
      </c>
      <c r="H21" s="208">
        <v>0.54166666666666663</v>
      </c>
      <c r="I21" s="208">
        <v>0.64583333333333337</v>
      </c>
      <c r="J21" s="132">
        <f t="shared" si="3"/>
        <v>2.5000000000000018</v>
      </c>
      <c r="K21" s="209">
        <v>8.5</v>
      </c>
      <c r="L21" s="210">
        <f t="shared" si="0"/>
        <v>6.9999999999999991</v>
      </c>
      <c r="M21" s="211"/>
      <c r="N21" s="249">
        <f t="shared" si="1"/>
        <v>-4.0000000000000009</v>
      </c>
      <c r="O21" s="267"/>
      <c r="P21" s="266"/>
      <c r="Q21" s="266" t="s">
        <v>428</v>
      </c>
      <c r="R21" s="266"/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44910</v>
      </c>
      <c r="E22" s="127"/>
      <c r="F22" s="127"/>
      <c r="G22" s="227">
        <f t="shared" si="2"/>
        <v>0</v>
      </c>
      <c r="H22" s="127"/>
      <c r="I22" s="127">
        <v>0.35416666666666669</v>
      </c>
      <c r="J22" s="227">
        <f t="shared" si="3"/>
        <v>8.5</v>
      </c>
      <c r="K22" s="115">
        <v>8.5</v>
      </c>
      <c r="L22" s="147">
        <f t="shared" si="0"/>
        <v>8.5</v>
      </c>
      <c r="M22" s="205"/>
      <c r="N22" s="250">
        <f t="shared" si="1"/>
        <v>-4.0000000000000009</v>
      </c>
      <c r="O22" s="268" t="s">
        <v>216</v>
      </c>
      <c r="P22" s="269">
        <v>8.5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44911</v>
      </c>
      <c r="E23" s="208"/>
      <c r="F23" s="208">
        <v>0.16666666666666666</v>
      </c>
      <c r="G23" s="132">
        <f t="shared" si="2"/>
        <v>4</v>
      </c>
      <c r="H23" s="208">
        <v>0.54166666666666663</v>
      </c>
      <c r="I23" s="208">
        <v>0.70833333333333337</v>
      </c>
      <c r="J23" s="132">
        <f t="shared" si="3"/>
        <v>4.0000000000000018</v>
      </c>
      <c r="K23" s="209">
        <v>8</v>
      </c>
      <c r="L23" s="210">
        <f t="shared" si="0"/>
        <v>8</v>
      </c>
      <c r="M23" s="211"/>
      <c r="N23" s="249">
        <f t="shared" si="1"/>
        <v>-4.0000000000000009</v>
      </c>
      <c r="O23" s="267" t="s">
        <v>216</v>
      </c>
      <c r="P23" s="266">
        <v>4</v>
      </c>
      <c r="Q23" s="266" t="s">
        <v>428</v>
      </c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44912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/>
      <c r="M24" s="205"/>
      <c r="N24" s="249">
        <f t="shared" si="1"/>
        <v>-4.0000000000000009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44913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/>
      <c r="M25" s="205"/>
      <c r="N25" s="249">
        <f t="shared" si="1"/>
        <v>-4.0000000000000009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51</v>
      </c>
      <c r="C26" s="125" t="s">
        <v>99</v>
      </c>
      <c r="D26" s="126">
        <v>44914</v>
      </c>
      <c r="E26" s="127">
        <v>0.33333333333333331</v>
      </c>
      <c r="F26" s="127">
        <v>0.51041666666666663</v>
      </c>
      <c r="G26" s="227">
        <f t="shared" si="2"/>
        <v>4.25</v>
      </c>
      <c r="H26" s="127">
        <v>0.54166666666666663</v>
      </c>
      <c r="I26" s="127">
        <v>0.71875</v>
      </c>
      <c r="J26" s="227">
        <f t="shared" si="3"/>
        <v>4.2500000000000009</v>
      </c>
      <c r="K26" s="115">
        <v>8.5</v>
      </c>
      <c r="L26" s="147">
        <f t="shared" si="0"/>
        <v>8.5</v>
      </c>
      <c r="M26" s="205"/>
      <c r="N26" s="250">
        <f t="shared" si="1"/>
        <v>-4.0000000000000009</v>
      </c>
      <c r="O26" s="268" t="s">
        <v>429</v>
      </c>
      <c r="P26" s="269">
        <v>4</v>
      </c>
      <c r="Q26" s="269"/>
      <c r="R26" s="269"/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44915</v>
      </c>
      <c r="E27" s="208">
        <v>0.33333333333333331</v>
      </c>
      <c r="F27" s="208">
        <v>0.51041666666666663</v>
      </c>
      <c r="G27" s="132">
        <f>(F27-E27)*24</f>
        <v>4.25</v>
      </c>
      <c r="H27" s="208">
        <v>0.54166666666666663</v>
      </c>
      <c r="I27" s="208">
        <v>0.75</v>
      </c>
      <c r="J27" s="132">
        <f t="shared" si="3"/>
        <v>5.0000000000000009</v>
      </c>
      <c r="K27" s="209">
        <v>8.5</v>
      </c>
      <c r="L27" s="210">
        <f t="shared" si="0"/>
        <v>9.25</v>
      </c>
      <c r="M27" s="211"/>
      <c r="N27" s="249">
        <f t="shared" si="1"/>
        <v>-3.2500000000000009</v>
      </c>
      <c r="O27" s="267" t="s">
        <v>429</v>
      </c>
      <c r="P27" s="266">
        <v>4</v>
      </c>
      <c r="Q27" s="266"/>
      <c r="R27" s="266"/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44916</v>
      </c>
      <c r="E28" s="127">
        <v>0.33333333333333331</v>
      </c>
      <c r="F28" s="127">
        <v>0.51041666666666663</v>
      </c>
      <c r="G28" s="227">
        <f t="shared" si="2"/>
        <v>4.25</v>
      </c>
      <c r="H28" s="127">
        <v>0.54166666666666663</v>
      </c>
      <c r="I28" s="127">
        <v>0.71875</v>
      </c>
      <c r="J28" s="227">
        <f t="shared" si="3"/>
        <v>4.2500000000000009</v>
      </c>
      <c r="K28" s="115">
        <v>8.5</v>
      </c>
      <c r="L28" s="147">
        <f t="shared" si="0"/>
        <v>8.5</v>
      </c>
      <c r="M28" s="205"/>
      <c r="N28" s="250">
        <f t="shared" si="1"/>
        <v>-3.2500000000000009</v>
      </c>
      <c r="O28" s="268" t="s">
        <v>429</v>
      </c>
      <c r="P28" s="269">
        <v>4</v>
      </c>
      <c r="Q28" s="269"/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44917</v>
      </c>
      <c r="E29" s="208"/>
      <c r="F29" s="208"/>
      <c r="G29" s="132">
        <f t="shared" si="2"/>
        <v>0</v>
      </c>
      <c r="H29" s="208"/>
      <c r="I29" s="208"/>
      <c r="J29" s="132">
        <f t="shared" si="3"/>
        <v>0</v>
      </c>
      <c r="K29" s="209">
        <v>8.5</v>
      </c>
      <c r="L29" s="210">
        <f t="shared" si="0"/>
        <v>0</v>
      </c>
      <c r="M29" s="211"/>
      <c r="N29" s="249">
        <f t="shared" si="1"/>
        <v>-3.2500000000000009</v>
      </c>
      <c r="O29" s="267" t="s">
        <v>216</v>
      </c>
      <c r="P29" s="266">
        <v>8.5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44918</v>
      </c>
      <c r="E30" s="127"/>
      <c r="F30" s="127"/>
      <c r="G30" s="227">
        <f t="shared" si="2"/>
        <v>0</v>
      </c>
      <c r="H30" s="127"/>
      <c r="I30" s="127"/>
      <c r="J30" s="227">
        <f t="shared" si="3"/>
        <v>0</v>
      </c>
      <c r="K30" s="115">
        <v>8</v>
      </c>
      <c r="L30" s="147">
        <f t="shared" si="0"/>
        <v>0</v>
      </c>
      <c r="M30" s="205"/>
      <c r="N30" s="250">
        <f t="shared" si="1"/>
        <v>-3.2500000000000009</v>
      </c>
      <c r="O30" s="268" t="s">
        <v>216</v>
      </c>
      <c r="P30" s="269">
        <v>4</v>
      </c>
      <c r="Q30" s="269"/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44919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/>
      <c r="M31" s="205"/>
      <c r="N31" s="250">
        <f t="shared" si="1"/>
        <v>-3.2500000000000009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44920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/>
      <c r="M32" s="205"/>
      <c r="N32" s="250">
        <f t="shared" si="1"/>
        <v>-3.2500000000000009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52</v>
      </c>
      <c r="C33" s="206" t="s">
        <v>99</v>
      </c>
      <c r="D33" s="126">
        <v>44921</v>
      </c>
      <c r="E33" s="208"/>
      <c r="F33" s="208"/>
      <c r="G33" s="132">
        <f t="shared" si="2"/>
        <v>0</v>
      </c>
      <c r="H33" s="208"/>
      <c r="I33" s="231"/>
      <c r="J33" s="132">
        <f t="shared" si="3"/>
        <v>0</v>
      </c>
      <c r="K33" s="209">
        <v>8.5</v>
      </c>
      <c r="L33" s="210">
        <f t="shared" si="0"/>
        <v>0</v>
      </c>
      <c r="M33" s="211"/>
      <c r="N33" s="249">
        <f t="shared" si="1"/>
        <v>-3.2500000000000009</v>
      </c>
      <c r="O33" s="267"/>
      <c r="P33" s="266"/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44922</v>
      </c>
      <c r="E34" s="127"/>
      <c r="F34" s="282"/>
      <c r="G34" s="227">
        <f t="shared" si="2"/>
        <v>0</v>
      </c>
      <c r="H34" s="282"/>
      <c r="I34" s="127"/>
      <c r="J34" s="227">
        <f t="shared" si="3"/>
        <v>0</v>
      </c>
      <c r="K34" s="115">
        <v>8.5</v>
      </c>
      <c r="L34" s="147">
        <f t="shared" si="0"/>
        <v>0</v>
      </c>
      <c r="M34" s="205"/>
      <c r="N34" s="250">
        <f t="shared" si="1"/>
        <v>-3.2500000000000009</v>
      </c>
      <c r="O34" s="268"/>
      <c r="P34" s="269"/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44923</v>
      </c>
      <c r="E35" s="337"/>
      <c r="F35" s="337"/>
      <c r="G35" s="444">
        <f t="shared" si="2"/>
        <v>0</v>
      </c>
      <c r="H35" s="337"/>
      <c r="I35" s="208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-3.2500000000000009</v>
      </c>
      <c r="O35" s="267"/>
      <c r="P35" s="266"/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44924</v>
      </c>
      <c r="E36" s="445"/>
      <c r="F36" s="443"/>
      <c r="G36" s="446">
        <f t="shared" si="2"/>
        <v>0</v>
      </c>
      <c r="H36" s="443"/>
      <c r="I36" s="127"/>
      <c r="J36" s="227">
        <f t="shared" si="3"/>
        <v>0</v>
      </c>
      <c r="K36" s="115">
        <v>8.5</v>
      </c>
      <c r="L36" s="147">
        <f t="shared" si="0"/>
        <v>0</v>
      </c>
      <c r="M36" s="205"/>
      <c r="N36" s="250">
        <f>IF(L36&gt;0,(L36-K36)+N35,+N35)</f>
        <v>-3.2500000000000009</v>
      </c>
      <c r="O36" s="268"/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44925</v>
      </c>
      <c r="E37" s="337"/>
      <c r="F37" s="337"/>
      <c r="G37" s="444">
        <f t="shared" si="2"/>
        <v>0</v>
      </c>
      <c r="H37" s="337"/>
      <c r="I37" s="337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-3.2500000000000009</v>
      </c>
      <c r="O37" s="267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114.25</v>
      </c>
      <c r="M38" s="135"/>
      <c r="N38" s="135"/>
      <c r="O38" s="186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62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12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0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0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50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0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 t="s">
        <v>419</v>
      </c>
      <c r="D86" s="142"/>
    </row>
    <row r="87" spans="3:9" x14ac:dyDescent="0.25">
      <c r="C87" s="447"/>
      <c r="D87" s="142"/>
    </row>
    <row r="88" spans="3:9" x14ac:dyDescent="0.25">
      <c r="C88" s="117" t="s">
        <v>420</v>
      </c>
      <c r="D88" s="142"/>
    </row>
    <row r="89" spans="3:9" x14ac:dyDescent="0.25">
      <c r="C89" s="117" t="s">
        <v>421</v>
      </c>
      <c r="D89" s="142"/>
    </row>
    <row r="90" spans="3:9" x14ac:dyDescent="0.25">
      <c r="C90" s="117" t="s">
        <v>422</v>
      </c>
      <c r="D90" s="142"/>
    </row>
    <row r="91" spans="3:9" x14ac:dyDescent="0.25">
      <c r="C91" s="117" t="s">
        <v>423</v>
      </c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B19:B23"/>
    <mergeCell ref="C2:X2"/>
    <mergeCell ref="C3:L3"/>
    <mergeCell ref="O4:X4"/>
    <mergeCell ref="B5:B9"/>
    <mergeCell ref="B12:B16"/>
  </mergeCells>
  <conditionalFormatting sqref="D5:D37">
    <cfRule type="expression" dxfId="8" priority="2">
      <formula>D5=TODAY()</formula>
    </cfRule>
    <cfRule type="expression" dxfId="7" priority="3">
      <formula>D5&lt;TODAY()</formula>
    </cfRule>
  </conditionalFormatting>
  <conditionalFormatting sqref="G1">
    <cfRule type="expression" dxfId="6" priority="1">
      <formula>$F$1=$E$1</formula>
    </cfRule>
  </conditionalFormatting>
  <dataValidations count="1">
    <dataValidation type="list" allowBlank="1" showInputMessage="1" showErrorMessage="1" sqref="E38 G38" xr:uid="{B39B686C-9B0C-4812-B3BB-F01FD2DCCE39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ase à cocher 7">
              <controlPr defaultSize="0" autoFill="0" autoLine="0" autoPict="0" macro="[0]!Caseàcocher7_Cliquer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Check Box 14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Check Box 15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140C-D04D-482B-9F53-687C78F5AA41}">
  <sheetPr>
    <tabColor theme="5" tint="0.59999389629810485"/>
    <pageSetUpPr fitToPage="1"/>
  </sheetPr>
  <dimension ref="A1:AT1048576"/>
  <sheetViews>
    <sheetView showZeros="0" tabSelected="1" showRuler="0" zoomScale="115" zoomScaleNormal="115" zoomScaleSheetLayoutView="100" zoomScalePageLayoutView="70" workbookViewId="0">
      <selection activeCell="I20" sqref="I20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11" style="117" customWidth="1" outlineLevel="1"/>
    <col min="29" max="29" width="13.296875" style="117" customWidth="1" outlineLevel="1"/>
    <col min="30" max="30" width="9.59765625" style="117" customWidth="1" outlineLevel="1"/>
    <col min="31" max="31" width="11" style="117" customWidth="1" outlineLevel="1"/>
    <col min="32" max="32" width="15.09765625" style="117" customWidth="1" outlineLevel="1"/>
    <col min="33" max="33" width="11" style="117" customWidth="1" outlineLevel="1"/>
    <col min="34" max="34" width="15.69921875" style="117" customWidth="1" outlineLevel="1"/>
    <col min="35" max="37" width="11" style="117" customWidth="1" outlineLevel="1"/>
    <col min="38" max="38" width="11.8984375" style="117" customWidth="1" outlineLevel="1"/>
    <col min="39" max="39" width="11" style="117" customWidth="1" outlineLevel="1"/>
    <col min="40" max="40" width="14.5" style="117" customWidth="1" outlineLevel="1"/>
    <col min="41" max="41" width="11" style="117" customWidth="1" outlineLevel="1"/>
    <col min="42" max="43" width="11" style="117"/>
    <col min="44" max="45" width="12.3984375" style="117" customWidth="1"/>
    <col min="46" max="16384" width="11" style="117"/>
  </cols>
  <sheetData>
    <row r="1" spans="1:46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6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6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T3" s="117" t="s">
        <v>412</v>
      </c>
    </row>
    <row r="4" spans="1:46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K4" s="138"/>
      <c r="AN4" s="138"/>
      <c r="AQ4" s="117" t="str">
        <f>CONCATENATE(L4, " ",L38)</f>
        <v>Tot. Journée 114,25</v>
      </c>
    </row>
    <row r="5" spans="1:46" ht="16.350000000000001" customHeight="1" thickTop="1" thickBot="1" x14ac:dyDescent="0.35">
      <c r="B5" s="487">
        <f>_xlfn.ISOWEEKNUM(D5)</f>
        <v>48</v>
      </c>
      <c r="C5" s="229" t="s">
        <v>99</v>
      </c>
      <c r="D5" s="126">
        <v>44893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10">
        <f t="shared" ref="L5:L37" si="0">(F5-E5+I5-H5)*24</f>
        <v>0</v>
      </c>
      <c r="M5" s="211"/>
      <c r="N5" s="249">
        <f t="shared" ref="N5:N34" si="1">IF(L5&gt;0,(L5-K5)+N4,+N4)</f>
        <v>0</v>
      </c>
      <c r="O5" s="267"/>
      <c r="P5" s="266"/>
      <c r="Q5" s="266"/>
      <c r="R5" s="266"/>
      <c r="S5" s="266"/>
      <c r="T5" s="266"/>
      <c r="U5" s="330"/>
      <c r="V5" s="215"/>
      <c r="W5" s="214"/>
      <c r="X5" s="216"/>
      <c r="Y5" s="121"/>
      <c r="AC5" s="260"/>
      <c r="AD5" s="260"/>
      <c r="AF5" s="260"/>
      <c r="AH5" s="259"/>
      <c r="AK5" s="138"/>
      <c r="AL5" s="263"/>
      <c r="AN5" s="138"/>
      <c r="AO5" s="263"/>
    </row>
    <row r="6" spans="1:46" ht="16.350000000000001" customHeight="1" thickTop="1" thickBot="1" x14ac:dyDescent="0.35">
      <c r="B6" s="487"/>
      <c r="C6" s="125" t="s">
        <v>93</v>
      </c>
      <c r="D6" s="126">
        <v>44894</v>
      </c>
      <c r="E6" s="127"/>
      <c r="F6" s="282"/>
      <c r="G6" s="227">
        <f t="shared" ref="G6:G37" si="2">(F6-E6)*24</f>
        <v>0</v>
      </c>
      <c r="H6" s="282"/>
      <c r="I6" s="127"/>
      <c r="J6" s="227">
        <f t="shared" ref="J6:J37" si="3">(I6-H6)*24</f>
        <v>0</v>
      </c>
      <c r="K6" s="115">
        <v>8.5</v>
      </c>
      <c r="L6" s="281">
        <f t="shared" si="0"/>
        <v>0</v>
      </c>
      <c r="M6" s="205"/>
      <c r="N6" s="249">
        <f t="shared" si="1"/>
        <v>0</v>
      </c>
      <c r="O6" s="268"/>
      <c r="P6" s="269"/>
      <c r="Q6" s="269"/>
      <c r="R6" s="269"/>
      <c r="S6" s="269"/>
      <c r="T6" s="269"/>
      <c r="U6" s="329"/>
      <c r="V6" s="180"/>
      <c r="W6" s="157"/>
      <c r="X6" s="158"/>
      <c r="Y6" s="121"/>
      <c r="AC6" s="257"/>
      <c r="AH6" s="260"/>
      <c r="AK6" s="138"/>
      <c r="AL6" s="263"/>
      <c r="AN6" s="138"/>
      <c r="AO6" s="263"/>
    </row>
    <row r="7" spans="1:46" ht="16.350000000000001" customHeight="1" thickTop="1" thickBot="1" x14ac:dyDescent="0.35">
      <c r="A7" s="150"/>
      <c r="B7" s="487"/>
      <c r="C7" s="206" t="s">
        <v>94</v>
      </c>
      <c r="D7" s="126">
        <v>44895</v>
      </c>
      <c r="E7" s="208"/>
      <c r="F7" s="208"/>
      <c r="G7" s="132">
        <f t="shared" si="2"/>
        <v>0</v>
      </c>
      <c r="H7" s="208"/>
      <c r="I7" s="208"/>
      <c r="J7" s="132">
        <f t="shared" si="3"/>
        <v>0</v>
      </c>
      <c r="K7" s="209">
        <v>8.5</v>
      </c>
      <c r="L7" s="210">
        <f t="shared" si="0"/>
        <v>0</v>
      </c>
      <c r="M7" s="211"/>
      <c r="N7" s="249">
        <f t="shared" si="1"/>
        <v>0</v>
      </c>
      <c r="O7" s="267"/>
      <c r="P7" s="266"/>
      <c r="Q7" s="266"/>
      <c r="R7" s="266"/>
      <c r="S7" s="266"/>
      <c r="T7" s="266"/>
      <c r="U7" s="326"/>
      <c r="V7" s="215"/>
      <c r="W7" s="214"/>
      <c r="X7" s="216"/>
      <c r="Y7" s="121"/>
      <c r="AB7" s="257"/>
      <c r="AD7" s="140"/>
      <c r="AF7" s="260"/>
      <c r="AH7" s="260"/>
      <c r="AK7" s="138"/>
      <c r="AL7" s="263"/>
      <c r="AN7" s="138"/>
      <c r="AO7" s="263"/>
    </row>
    <row r="8" spans="1:46" ht="16.350000000000001" customHeight="1" thickTop="1" thickBot="1" x14ac:dyDescent="0.35">
      <c r="A8" s="150"/>
      <c r="B8" s="487"/>
      <c r="C8" s="125" t="s">
        <v>95</v>
      </c>
      <c r="D8" s="126">
        <v>44896</v>
      </c>
      <c r="E8" s="127"/>
      <c r="F8" s="282"/>
      <c r="G8" s="227">
        <f t="shared" si="2"/>
        <v>0</v>
      </c>
      <c r="H8" s="282"/>
      <c r="I8" s="127"/>
      <c r="J8" s="227">
        <f t="shared" si="3"/>
        <v>0</v>
      </c>
      <c r="K8" s="115">
        <v>8.5</v>
      </c>
      <c r="L8" s="281">
        <f t="shared" si="0"/>
        <v>0</v>
      </c>
      <c r="M8" s="205"/>
      <c r="N8" s="249">
        <f t="shared" si="1"/>
        <v>0</v>
      </c>
      <c r="O8" s="268" t="s">
        <v>216</v>
      </c>
      <c r="P8" s="269">
        <v>8.5</v>
      </c>
      <c r="Q8" s="269"/>
      <c r="R8" s="269"/>
      <c r="S8" s="270"/>
      <c r="T8" s="269"/>
      <c r="U8" s="329"/>
      <c r="V8" s="180"/>
      <c r="W8" s="157"/>
      <c r="X8" s="158"/>
      <c r="Y8" s="121"/>
      <c r="AE8" s="258"/>
      <c r="AH8" s="260"/>
      <c r="AK8" s="138"/>
      <c r="AL8" s="263"/>
      <c r="AN8" s="138"/>
      <c r="AO8" s="263"/>
      <c r="AT8" s="449" t="b">
        <v>0</v>
      </c>
    </row>
    <row r="9" spans="1:46" ht="16.05" customHeight="1" thickTop="1" thickBot="1" x14ac:dyDescent="0.35">
      <c r="A9" s="150"/>
      <c r="B9" s="487"/>
      <c r="C9" s="206" t="s">
        <v>96</v>
      </c>
      <c r="D9" s="126">
        <v>44897</v>
      </c>
      <c r="E9" s="208"/>
      <c r="F9" s="208">
        <v>0.16666666666666666</v>
      </c>
      <c r="G9" s="132">
        <f t="shared" si="2"/>
        <v>4</v>
      </c>
      <c r="H9" s="208">
        <v>0.54166666666666663</v>
      </c>
      <c r="I9" s="208">
        <v>0.70833333333333337</v>
      </c>
      <c r="J9" s="132">
        <f t="shared" si="3"/>
        <v>4.0000000000000018</v>
      </c>
      <c r="K9" s="209">
        <v>8</v>
      </c>
      <c r="L9" s="210">
        <f t="shared" si="0"/>
        <v>8</v>
      </c>
      <c r="M9" s="211"/>
      <c r="N9" s="249">
        <f t="shared" si="1"/>
        <v>0</v>
      </c>
      <c r="O9" s="276" t="s">
        <v>216</v>
      </c>
      <c r="P9" s="277">
        <v>4</v>
      </c>
      <c r="Q9" s="277" t="s">
        <v>139</v>
      </c>
      <c r="R9" s="277">
        <v>4</v>
      </c>
      <c r="S9" s="266"/>
      <c r="T9" s="266"/>
      <c r="U9" s="326"/>
      <c r="V9" s="215"/>
      <c r="W9" s="214"/>
      <c r="X9" s="216"/>
      <c r="Y9" s="121"/>
      <c r="AG9" s="259"/>
      <c r="AH9" s="261"/>
      <c r="AK9" s="138"/>
      <c r="AL9" s="263"/>
      <c r="AN9" s="138"/>
      <c r="AO9" s="263"/>
    </row>
    <row r="10" spans="1:46" ht="1.35" customHeight="1" thickTop="1" thickBot="1" x14ac:dyDescent="0.35">
      <c r="A10" s="150"/>
      <c r="B10" s="122"/>
      <c r="C10" s="143" t="s">
        <v>97</v>
      </c>
      <c r="D10" s="126">
        <v>44898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210"/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331"/>
      <c r="V10" s="181"/>
      <c r="W10" s="162"/>
      <c r="X10" s="164"/>
      <c r="Y10" s="121"/>
      <c r="AK10" s="138"/>
      <c r="AL10" s="263"/>
      <c r="AN10" s="138"/>
      <c r="AO10" s="263"/>
    </row>
    <row r="11" spans="1:46" ht="1.35" customHeight="1" thickTop="1" thickBot="1" x14ac:dyDescent="0.35">
      <c r="A11" s="150"/>
      <c r="B11" s="122"/>
      <c r="C11" s="143" t="s">
        <v>98</v>
      </c>
      <c r="D11" s="126">
        <v>44899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210"/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331"/>
      <c r="V11" s="181"/>
      <c r="W11" s="163"/>
      <c r="X11" s="164"/>
      <c r="Y11" s="121"/>
      <c r="AK11" s="138"/>
      <c r="AL11" s="263"/>
      <c r="AN11" s="138"/>
      <c r="AO11" s="263"/>
    </row>
    <row r="12" spans="1:46" ht="16.05" customHeight="1" thickTop="1" thickBot="1" x14ac:dyDescent="0.35">
      <c r="A12" s="150"/>
      <c r="B12" s="487">
        <f>_xlfn.ISOWEEKNUM(D12)</f>
        <v>49</v>
      </c>
      <c r="C12" s="125" t="s">
        <v>99</v>
      </c>
      <c r="D12" s="126">
        <v>44900</v>
      </c>
      <c r="E12" s="127">
        <v>0.32291666666666669</v>
      </c>
      <c r="F12" s="127">
        <v>0.51041666666666663</v>
      </c>
      <c r="G12" s="227">
        <f t="shared" si="2"/>
        <v>4.4999999999999982</v>
      </c>
      <c r="H12" s="127">
        <v>0.54166666666666663</v>
      </c>
      <c r="I12" s="127">
        <v>0.70833333333333337</v>
      </c>
      <c r="J12" s="227">
        <f t="shared" si="3"/>
        <v>4.0000000000000018</v>
      </c>
      <c r="K12" s="115">
        <v>8.5</v>
      </c>
      <c r="L12" s="147">
        <f t="shared" si="0"/>
        <v>8.5</v>
      </c>
      <c r="M12" s="205"/>
      <c r="N12" s="250">
        <f t="shared" si="1"/>
        <v>0</v>
      </c>
      <c r="O12" s="268"/>
      <c r="P12" s="269"/>
      <c r="Q12" s="269" t="s">
        <v>139</v>
      </c>
      <c r="R12" s="269">
        <v>4</v>
      </c>
      <c r="S12" s="269"/>
      <c r="T12" s="269"/>
      <c r="U12" s="332"/>
      <c r="V12" s="180"/>
      <c r="W12" s="157"/>
      <c r="X12" s="158"/>
      <c r="Y12" s="121"/>
      <c r="AH12" s="257"/>
      <c r="AK12" s="138"/>
      <c r="AL12" s="263"/>
      <c r="AN12" s="138"/>
      <c r="AO12" s="263"/>
    </row>
    <row r="13" spans="1:46" ht="16.05" customHeight="1" thickTop="1" thickBot="1" x14ac:dyDescent="0.35">
      <c r="A13" s="150"/>
      <c r="B13" s="487"/>
      <c r="C13" s="206" t="s">
        <v>93</v>
      </c>
      <c r="D13" s="126">
        <v>44901</v>
      </c>
      <c r="E13" s="208">
        <v>0.33333333333333331</v>
      </c>
      <c r="F13" s="208">
        <v>0.51041666666666663</v>
      </c>
      <c r="G13" s="132">
        <f t="shared" si="2"/>
        <v>4.25</v>
      </c>
      <c r="H13" s="208">
        <v>0.54166666666666663</v>
      </c>
      <c r="I13" s="208">
        <v>0.71875</v>
      </c>
      <c r="J13" s="132">
        <f t="shared" si="3"/>
        <v>4.2500000000000009</v>
      </c>
      <c r="K13" s="209">
        <v>8.5</v>
      </c>
      <c r="L13" s="210">
        <f t="shared" si="0"/>
        <v>8.5</v>
      </c>
      <c r="M13" s="211"/>
      <c r="N13" s="249">
        <f t="shared" si="1"/>
        <v>0</v>
      </c>
      <c r="O13" s="267"/>
      <c r="P13" s="266"/>
      <c r="Q13" s="266" t="s">
        <v>139</v>
      </c>
      <c r="R13" s="266">
        <v>4</v>
      </c>
      <c r="S13" s="271"/>
      <c r="T13" s="266"/>
      <c r="U13" s="330"/>
      <c r="V13" s="215"/>
      <c r="W13" s="217"/>
      <c r="X13" s="219"/>
      <c r="Y13" s="133"/>
      <c r="AK13" s="138"/>
      <c r="AL13" s="263"/>
      <c r="AN13" s="138"/>
      <c r="AO13" s="263"/>
    </row>
    <row r="14" spans="1:46" ht="16.05" customHeight="1" thickTop="1" thickBot="1" x14ac:dyDescent="0.35">
      <c r="A14" s="150"/>
      <c r="B14" s="487"/>
      <c r="C14" s="125" t="s">
        <v>94</v>
      </c>
      <c r="D14" s="126">
        <v>44902</v>
      </c>
      <c r="E14" s="127">
        <v>0.33333333333333331</v>
      </c>
      <c r="F14" s="127">
        <v>0.51041666666666663</v>
      </c>
      <c r="G14" s="227">
        <f t="shared" si="2"/>
        <v>4.25</v>
      </c>
      <c r="H14" s="127">
        <v>0.54166666666666663</v>
      </c>
      <c r="I14" s="127">
        <v>0.71875</v>
      </c>
      <c r="J14" s="227">
        <f t="shared" si="3"/>
        <v>4.2500000000000009</v>
      </c>
      <c r="K14" s="115">
        <v>8.5</v>
      </c>
      <c r="L14" s="147">
        <f t="shared" si="0"/>
        <v>8.5</v>
      </c>
      <c r="M14" s="205"/>
      <c r="N14" s="250">
        <f t="shared" si="1"/>
        <v>0</v>
      </c>
      <c r="O14" s="268"/>
      <c r="P14" s="269"/>
      <c r="Q14" s="269" t="s">
        <v>295</v>
      </c>
      <c r="R14" s="269">
        <v>4</v>
      </c>
      <c r="S14" s="270"/>
      <c r="T14" s="269"/>
      <c r="U14" s="329"/>
      <c r="V14" s="180"/>
      <c r="W14" s="157"/>
      <c r="X14" s="158"/>
      <c r="Y14" s="133"/>
      <c r="AH14" s="257"/>
      <c r="AK14" s="138"/>
      <c r="AL14" s="263"/>
      <c r="AN14" s="138"/>
      <c r="AO14" s="263"/>
    </row>
    <row r="15" spans="1:46" ht="16.05" customHeight="1" thickTop="1" thickBot="1" x14ac:dyDescent="0.35">
      <c r="A15" s="150"/>
      <c r="B15" s="487"/>
      <c r="C15" s="206" t="s">
        <v>95</v>
      </c>
      <c r="D15" s="126">
        <v>44903</v>
      </c>
      <c r="E15" s="208"/>
      <c r="F15" s="208"/>
      <c r="G15" s="132">
        <f t="shared" si="2"/>
        <v>0</v>
      </c>
      <c r="H15" s="208"/>
      <c r="I15" s="208">
        <v>0.35416666666666669</v>
      </c>
      <c r="J15" s="132">
        <f t="shared" si="3"/>
        <v>8.5</v>
      </c>
      <c r="K15" s="209">
        <v>8.5</v>
      </c>
      <c r="L15" s="210">
        <f t="shared" si="0"/>
        <v>8.5</v>
      </c>
      <c r="M15" s="211"/>
      <c r="N15" s="249">
        <f t="shared" si="1"/>
        <v>0</v>
      </c>
      <c r="O15" s="450" t="s">
        <v>216</v>
      </c>
      <c r="P15" s="451">
        <v>8.5</v>
      </c>
      <c r="Q15" s="451"/>
      <c r="R15" s="451"/>
      <c r="S15" s="451"/>
      <c r="T15" s="451"/>
      <c r="U15" s="451"/>
      <c r="V15" s="451"/>
      <c r="W15" s="451"/>
      <c r="X15" s="452"/>
      <c r="Y15" s="133"/>
      <c r="AK15" s="138"/>
      <c r="AL15" s="263"/>
      <c r="AN15" s="138"/>
      <c r="AO15" s="263"/>
    </row>
    <row r="16" spans="1:46" ht="16.05" customHeight="1" thickTop="1" thickBot="1" x14ac:dyDescent="0.35">
      <c r="A16" s="150"/>
      <c r="B16" s="487"/>
      <c r="C16" s="125" t="s">
        <v>96</v>
      </c>
      <c r="D16" s="126">
        <v>44904</v>
      </c>
      <c r="E16" s="127"/>
      <c r="F16" s="127">
        <v>0.16666666666666666</v>
      </c>
      <c r="G16" s="227">
        <f t="shared" si="2"/>
        <v>4</v>
      </c>
      <c r="H16" s="127"/>
      <c r="I16" s="127"/>
      <c r="J16" s="227">
        <f t="shared" si="3"/>
        <v>0</v>
      </c>
      <c r="K16" s="115">
        <v>8</v>
      </c>
      <c r="L16" s="147">
        <f t="shared" si="0"/>
        <v>4</v>
      </c>
      <c r="M16" s="205"/>
      <c r="N16" s="250">
        <f t="shared" si="1"/>
        <v>-4</v>
      </c>
      <c r="O16" s="269" t="s">
        <v>216</v>
      </c>
      <c r="P16" s="269">
        <v>4</v>
      </c>
      <c r="Q16" s="269"/>
      <c r="R16" s="269"/>
      <c r="S16" s="269"/>
      <c r="T16" s="270"/>
      <c r="U16" s="329"/>
      <c r="V16" s="180"/>
      <c r="W16" s="157"/>
      <c r="X16" s="158"/>
      <c r="Y16" s="133"/>
      <c r="AC16" s="260"/>
      <c r="AD16" s="260"/>
      <c r="AF16" s="260"/>
      <c r="AH16" s="259"/>
      <c r="AK16" s="138"/>
      <c r="AL16" s="263"/>
      <c r="AN16" s="138"/>
      <c r="AO16" s="263"/>
    </row>
    <row r="17" spans="1:44" ht="1.35" customHeight="1" thickTop="1" thickBot="1" x14ac:dyDescent="0.35">
      <c r="A17" s="150"/>
      <c r="B17" s="185"/>
      <c r="C17" s="143" t="s">
        <v>97</v>
      </c>
      <c r="D17" s="126">
        <v>44905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210"/>
      <c r="M17" s="205"/>
      <c r="N17" s="250">
        <f t="shared" si="1"/>
        <v>-4</v>
      </c>
      <c r="O17" s="272"/>
      <c r="P17" s="273"/>
      <c r="Q17" s="273"/>
      <c r="R17" s="273"/>
      <c r="S17" s="273"/>
      <c r="T17" s="273"/>
      <c r="U17" s="333"/>
      <c r="V17" s="181"/>
      <c r="W17" s="162"/>
      <c r="X17" s="164"/>
      <c r="Y17" s="133"/>
      <c r="AC17" s="257"/>
      <c r="AH17" s="260"/>
      <c r="AL17" s="263"/>
      <c r="AO17" s="263"/>
    </row>
    <row r="18" spans="1:44" ht="1.35" customHeight="1" thickTop="1" thickBot="1" x14ac:dyDescent="0.35">
      <c r="A18" s="150"/>
      <c r="B18" s="185"/>
      <c r="C18" s="143" t="s">
        <v>98</v>
      </c>
      <c r="D18" s="126">
        <v>44906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210"/>
      <c r="M18" s="205"/>
      <c r="N18" s="250">
        <f t="shared" si="1"/>
        <v>-4</v>
      </c>
      <c r="O18" s="272"/>
      <c r="P18" s="273"/>
      <c r="Q18" s="273"/>
      <c r="R18" s="273"/>
      <c r="S18" s="274"/>
      <c r="T18" s="273"/>
      <c r="U18" s="333"/>
      <c r="V18" s="181"/>
      <c r="W18" s="162"/>
      <c r="X18" s="164"/>
      <c r="Y18" s="133"/>
      <c r="AD18" s="140"/>
      <c r="AF18" s="260"/>
      <c r="AH18" s="260"/>
      <c r="AL18" s="263"/>
      <c r="AO18" s="263"/>
    </row>
    <row r="19" spans="1:44" ht="16.05" customHeight="1" thickTop="1" thickBot="1" x14ac:dyDescent="0.35">
      <c r="A19" s="150"/>
      <c r="B19" s="487">
        <f>_xlfn.ISOWEEKNUM(D19)</f>
        <v>50</v>
      </c>
      <c r="C19" s="206" t="s">
        <v>99</v>
      </c>
      <c r="D19" s="126">
        <v>44907</v>
      </c>
      <c r="E19" s="208">
        <v>0.33333333333333331</v>
      </c>
      <c r="F19" s="208">
        <v>0.52083333333333337</v>
      </c>
      <c r="G19" s="132">
        <f t="shared" si="2"/>
        <v>4.5000000000000018</v>
      </c>
      <c r="H19" s="208">
        <v>0.55208333333333337</v>
      </c>
      <c r="I19" s="208">
        <v>0.77083333333333337</v>
      </c>
      <c r="J19" s="132">
        <f t="shared" si="3"/>
        <v>5.25</v>
      </c>
      <c r="K19" s="209">
        <v>8.5</v>
      </c>
      <c r="L19" s="210">
        <f t="shared" si="0"/>
        <v>9.7500000000000036</v>
      </c>
      <c r="M19" s="211"/>
      <c r="N19" s="249">
        <f t="shared" si="1"/>
        <v>-2.7499999999999964</v>
      </c>
      <c r="O19" s="267"/>
      <c r="P19" s="266"/>
      <c r="Q19" s="266" t="s">
        <v>250</v>
      </c>
      <c r="R19" s="266">
        <v>4</v>
      </c>
      <c r="S19" s="271"/>
      <c r="T19" s="266"/>
      <c r="U19" s="330"/>
      <c r="V19" s="215"/>
      <c r="W19" s="214"/>
      <c r="X19" s="216"/>
      <c r="Y19" s="133"/>
      <c r="AE19" s="258"/>
      <c r="AH19" s="260"/>
      <c r="AL19" s="263"/>
      <c r="AO19" s="263"/>
    </row>
    <row r="20" spans="1:44" ht="16.05" customHeight="1" thickTop="1" thickBot="1" x14ac:dyDescent="0.35">
      <c r="A20" s="150"/>
      <c r="B20" s="487"/>
      <c r="C20" s="125" t="s">
        <v>93</v>
      </c>
      <c r="D20" s="126">
        <v>44908</v>
      </c>
      <c r="E20" s="127">
        <v>0.29166666666666669</v>
      </c>
      <c r="F20" s="127">
        <v>0.51041666666666663</v>
      </c>
      <c r="G20" s="227">
        <f t="shared" si="2"/>
        <v>5.2499999999999982</v>
      </c>
      <c r="H20" s="127">
        <v>0.55208333333333337</v>
      </c>
      <c r="I20" s="127">
        <v>0.69791666666666663</v>
      </c>
      <c r="J20" s="227">
        <f t="shared" si="3"/>
        <v>3.4999999999999982</v>
      </c>
      <c r="K20" s="115">
        <v>8.5</v>
      </c>
      <c r="L20" s="147">
        <f t="shared" si="0"/>
        <v>8.7499999999999964</v>
      </c>
      <c r="M20" s="205"/>
      <c r="N20" s="250">
        <f t="shared" si="1"/>
        <v>-2.5</v>
      </c>
      <c r="O20" s="269"/>
      <c r="P20" s="269"/>
      <c r="Q20" s="269" t="s">
        <v>250</v>
      </c>
      <c r="R20" s="269">
        <v>4</v>
      </c>
      <c r="S20" s="269"/>
      <c r="T20" s="269"/>
      <c r="U20" s="329"/>
      <c r="V20" s="180"/>
      <c r="W20" s="157"/>
      <c r="X20" s="158"/>
      <c r="Y20" s="133"/>
      <c r="AD20" s="140"/>
      <c r="AF20" s="260"/>
      <c r="AG20" s="259"/>
      <c r="AH20" s="261"/>
    </row>
    <row r="21" spans="1:44" ht="16.05" customHeight="1" thickTop="1" thickBot="1" x14ac:dyDescent="0.35">
      <c r="A21" s="150"/>
      <c r="B21" s="487"/>
      <c r="C21" s="206" t="s">
        <v>94</v>
      </c>
      <c r="D21" s="126">
        <v>44909</v>
      </c>
      <c r="E21" s="208">
        <v>0.32291666666666669</v>
      </c>
      <c r="F21" s="208">
        <v>0.51041666666666663</v>
      </c>
      <c r="G21" s="132">
        <f t="shared" si="2"/>
        <v>4.4999999999999982</v>
      </c>
      <c r="H21" s="208">
        <v>0.54166666666666663</v>
      </c>
      <c r="I21" s="208">
        <v>0.64583333333333337</v>
      </c>
      <c r="J21" s="132">
        <f t="shared" si="3"/>
        <v>2.5000000000000018</v>
      </c>
      <c r="K21" s="209">
        <v>8.5</v>
      </c>
      <c r="L21" s="210">
        <f t="shared" si="0"/>
        <v>6.9999999999999991</v>
      </c>
      <c r="M21" s="211"/>
      <c r="N21" s="249">
        <f t="shared" si="1"/>
        <v>-4.0000000000000009</v>
      </c>
      <c r="O21" s="267"/>
      <c r="P21" s="266"/>
      <c r="Q21" s="266" t="s">
        <v>428</v>
      </c>
      <c r="R21" s="266"/>
      <c r="S21" s="266"/>
      <c r="T21" s="266"/>
      <c r="U21" s="326"/>
      <c r="V21" s="215"/>
      <c r="W21" s="214"/>
      <c r="X21" s="216"/>
      <c r="Y21" s="133"/>
    </row>
    <row r="22" spans="1:44" ht="16.05" customHeight="1" thickTop="1" thickBot="1" x14ac:dyDescent="0.35">
      <c r="A22" s="150"/>
      <c r="B22" s="487"/>
      <c r="C22" s="125" t="s">
        <v>95</v>
      </c>
      <c r="D22" s="126">
        <v>44910</v>
      </c>
      <c r="E22" s="127"/>
      <c r="F22" s="127"/>
      <c r="G22" s="227">
        <f t="shared" si="2"/>
        <v>0</v>
      </c>
      <c r="H22" s="127"/>
      <c r="I22" s="127">
        <v>0.35416666666666669</v>
      </c>
      <c r="J22" s="227">
        <f t="shared" si="3"/>
        <v>8.5</v>
      </c>
      <c r="K22" s="115">
        <v>8.5</v>
      </c>
      <c r="L22" s="147">
        <f t="shared" si="0"/>
        <v>8.5</v>
      </c>
      <c r="M22" s="205"/>
      <c r="N22" s="250">
        <f t="shared" si="1"/>
        <v>-4.0000000000000009</v>
      </c>
      <c r="O22" s="268" t="s">
        <v>216</v>
      </c>
      <c r="P22" s="269">
        <v>8.5</v>
      </c>
      <c r="Q22" s="269"/>
      <c r="R22" s="269"/>
      <c r="S22" s="269"/>
      <c r="T22" s="269"/>
      <c r="U22" s="329"/>
      <c r="V22" s="180"/>
      <c r="W22" s="157"/>
      <c r="X22" s="158"/>
      <c r="Y22" s="133"/>
      <c r="AK22" s="138"/>
      <c r="AN22" s="138"/>
    </row>
    <row r="23" spans="1:44" ht="16.05" customHeight="1" thickTop="1" thickBot="1" x14ac:dyDescent="0.35">
      <c r="A23" s="150"/>
      <c r="B23" s="487"/>
      <c r="C23" s="206" t="s">
        <v>96</v>
      </c>
      <c r="D23" s="126">
        <v>44911</v>
      </c>
      <c r="E23" s="208"/>
      <c r="F23" s="208">
        <v>0.16666666666666666</v>
      </c>
      <c r="G23" s="132">
        <f t="shared" si="2"/>
        <v>4</v>
      </c>
      <c r="H23" s="208">
        <v>0.54166666666666663</v>
      </c>
      <c r="I23" s="208">
        <v>0.70833333333333337</v>
      </c>
      <c r="J23" s="132">
        <f t="shared" si="3"/>
        <v>4.0000000000000018</v>
      </c>
      <c r="K23" s="209">
        <v>8</v>
      </c>
      <c r="L23" s="210">
        <f t="shared" si="0"/>
        <v>8</v>
      </c>
      <c r="M23" s="211"/>
      <c r="N23" s="249">
        <f t="shared" si="1"/>
        <v>-4.0000000000000009</v>
      </c>
      <c r="O23" s="267" t="s">
        <v>216</v>
      </c>
      <c r="P23" s="266">
        <v>4</v>
      </c>
      <c r="Q23" s="266" t="s">
        <v>428</v>
      </c>
      <c r="R23" s="266"/>
      <c r="S23" s="266"/>
      <c r="T23" s="266"/>
      <c r="U23" s="326"/>
      <c r="V23" s="215"/>
      <c r="W23" s="214"/>
      <c r="X23" s="216"/>
      <c r="Y23" s="133"/>
      <c r="AK23" s="138"/>
      <c r="AL23" s="263"/>
      <c r="AN23" s="138"/>
      <c r="AO23" s="263"/>
    </row>
    <row r="24" spans="1:44" ht="1.35" customHeight="1" thickTop="1" thickBot="1" x14ac:dyDescent="0.35">
      <c r="A24" s="150"/>
      <c r="B24" s="185"/>
      <c r="C24" s="143" t="s">
        <v>97</v>
      </c>
      <c r="D24" s="126">
        <v>44912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210"/>
      <c r="M24" s="205"/>
      <c r="N24" s="249">
        <f t="shared" si="1"/>
        <v>-4.0000000000000009</v>
      </c>
      <c r="O24" s="272"/>
      <c r="P24" s="273"/>
      <c r="Q24" s="273"/>
      <c r="R24" s="273"/>
      <c r="S24" s="273"/>
      <c r="T24" s="273"/>
      <c r="U24" s="333"/>
      <c r="V24" s="181"/>
      <c r="W24" s="162"/>
      <c r="X24" s="164"/>
      <c r="Y24" s="133"/>
      <c r="AK24" s="138"/>
      <c r="AL24" s="263"/>
      <c r="AN24" s="138"/>
      <c r="AO24" s="263"/>
    </row>
    <row r="25" spans="1:44" ht="1.35" customHeight="1" thickTop="1" thickBot="1" x14ac:dyDescent="0.35">
      <c r="A25" s="150"/>
      <c r="B25" s="185"/>
      <c r="C25" s="143" t="s">
        <v>98</v>
      </c>
      <c r="D25" s="126">
        <v>44913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210"/>
      <c r="M25" s="205"/>
      <c r="N25" s="249">
        <f t="shared" si="1"/>
        <v>-4.0000000000000009</v>
      </c>
      <c r="O25" s="272"/>
      <c r="P25" s="273"/>
      <c r="Q25" s="273"/>
      <c r="R25" s="273"/>
      <c r="S25" s="273"/>
      <c r="T25" s="273"/>
      <c r="U25" s="333"/>
      <c r="V25" s="181"/>
      <c r="W25" s="162"/>
      <c r="X25" s="164"/>
      <c r="Y25" s="133"/>
      <c r="AK25" s="138"/>
      <c r="AL25" s="263"/>
      <c r="AN25" s="138"/>
      <c r="AO25" s="263"/>
    </row>
    <row r="26" spans="1:44" ht="16.05" customHeight="1" thickTop="1" thickBot="1" x14ac:dyDescent="0.35">
      <c r="A26" s="150"/>
      <c r="B26" s="487">
        <f>_xlfn.ISOWEEKNUM(D26)</f>
        <v>51</v>
      </c>
      <c r="C26" s="125" t="s">
        <v>99</v>
      </c>
      <c r="D26" s="126">
        <v>44914</v>
      </c>
      <c r="E26" s="127">
        <v>0.33333333333333331</v>
      </c>
      <c r="F26" s="127">
        <v>0.51041666666666663</v>
      </c>
      <c r="G26" s="227">
        <f t="shared" si="2"/>
        <v>4.25</v>
      </c>
      <c r="H26" s="127">
        <v>0.54166666666666663</v>
      </c>
      <c r="I26" s="127">
        <v>0.71875</v>
      </c>
      <c r="J26" s="227">
        <f t="shared" si="3"/>
        <v>4.2500000000000009</v>
      </c>
      <c r="K26" s="115">
        <v>8.5</v>
      </c>
      <c r="L26" s="147">
        <f t="shared" si="0"/>
        <v>8.5</v>
      </c>
      <c r="M26" s="205"/>
      <c r="N26" s="250">
        <f t="shared" si="1"/>
        <v>-4.0000000000000009</v>
      </c>
      <c r="O26" s="268" t="s">
        <v>429</v>
      </c>
      <c r="P26" s="269">
        <v>4</v>
      </c>
      <c r="Q26" s="269"/>
      <c r="R26" s="269"/>
      <c r="S26" s="269"/>
      <c r="T26" s="269"/>
      <c r="U26" s="329"/>
      <c r="V26" s="180"/>
      <c r="W26" s="157"/>
      <c r="X26" s="158"/>
      <c r="Y26" s="133"/>
      <c r="AC26" s="260"/>
      <c r="AD26" s="260"/>
      <c r="AF26" s="260"/>
      <c r="AH26" s="259"/>
      <c r="AK26" s="138"/>
      <c r="AL26" s="263"/>
      <c r="AN26" s="138"/>
      <c r="AO26" s="263"/>
    </row>
    <row r="27" spans="1:44" ht="16.05" customHeight="1" thickTop="1" thickBot="1" x14ac:dyDescent="0.35">
      <c r="A27" s="150"/>
      <c r="B27" s="487"/>
      <c r="C27" s="206" t="s">
        <v>93</v>
      </c>
      <c r="D27" s="126">
        <v>44915</v>
      </c>
      <c r="E27" s="208">
        <v>0.33333333333333331</v>
      </c>
      <c r="F27" s="208">
        <v>0.51041666666666663</v>
      </c>
      <c r="G27" s="132">
        <f>(F27-E27)*24</f>
        <v>4.25</v>
      </c>
      <c r="H27" s="208">
        <v>0.54166666666666663</v>
      </c>
      <c r="I27" s="208">
        <v>0.75</v>
      </c>
      <c r="J27" s="132">
        <f t="shared" si="3"/>
        <v>5.0000000000000009</v>
      </c>
      <c r="K27" s="209">
        <v>8.5</v>
      </c>
      <c r="L27" s="210">
        <f t="shared" si="0"/>
        <v>9.25</v>
      </c>
      <c r="M27" s="211"/>
      <c r="N27" s="249">
        <f t="shared" si="1"/>
        <v>-3.2500000000000009</v>
      </c>
      <c r="O27" s="267" t="s">
        <v>429</v>
      </c>
      <c r="P27" s="266">
        <v>4</v>
      </c>
      <c r="Q27" s="266"/>
      <c r="R27" s="266"/>
      <c r="S27" s="266"/>
      <c r="T27" s="327"/>
      <c r="U27" s="330"/>
      <c r="V27" s="215"/>
      <c r="W27" s="214"/>
      <c r="X27" s="216"/>
      <c r="Y27" s="121"/>
      <c r="AC27" s="257"/>
      <c r="AH27" s="260"/>
      <c r="AK27" s="138"/>
      <c r="AL27" s="263"/>
      <c r="AN27" s="138"/>
      <c r="AO27" s="263"/>
      <c r="AR27" s="117">
        <f>AR41+AS41</f>
        <v>32799.75</v>
      </c>
    </row>
    <row r="28" spans="1:44" ht="16.05" customHeight="1" thickTop="1" thickBot="1" x14ac:dyDescent="0.35">
      <c r="A28" s="150"/>
      <c r="B28" s="487"/>
      <c r="C28" s="125" t="s">
        <v>94</v>
      </c>
      <c r="D28" s="126">
        <v>44916</v>
      </c>
      <c r="E28" s="127">
        <v>0.33333333333333331</v>
      </c>
      <c r="F28" s="127">
        <v>0.51041666666666663</v>
      </c>
      <c r="G28" s="227">
        <f t="shared" si="2"/>
        <v>4.25</v>
      </c>
      <c r="H28" s="127">
        <v>0.54166666666666663</v>
      </c>
      <c r="I28" s="127">
        <v>0.71875</v>
      </c>
      <c r="J28" s="227">
        <f t="shared" si="3"/>
        <v>4.2500000000000009</v>
      </c>
      <c r="K28" s="115">
        <v>8.5</v>
      </c>
      <c r="L28" s="147">
        <f t="shared" si="0"/>
        <v>8.5</v>
      </c>
      <c r="M28" s="205"/>
      <c r="N28" s="250">
        <f t="shared" si="1"/>
        <v>-3.2500000000000009</v>
      </c>
      <c r="O28" s="268" t="s">
        <v>429</v>
      </c>
      <c r="P28" s="269">
        <v>4</v>
      </c>
      <c r="Q28" s="269"/>
      <c r="R28" s="269"/>
      <c r="S28" s="269"/>
      <c r="T28" s="269"/>
      <c r="U28" s="329"/>
      <c r="V28" s="180"/>
      <c r="W28" s="157"/>
      <c r="X28" s="158"/>
      <c r="Y28" s="121"/>
      <c r="AD28" s="140"/>
      <c r="AF28" s="260"/>
      <c r="AH28" s="260"/>
      <c r="AK28" s="138"/>
      <c r="AL28" s="263"/>
      <c r="AN28" s="138"/>
      <c r="AO28" s="263"/>
    </row>
    <row r="29" spans="1:44" ht="16.05" customHeight="1" thickTop="1" thickBot="1" x14ac:dyDescent="0.35">
      <c r="A29" s="150"/>
      <c r="B29" s="487"/>
      <c r="C29" s="206" t="s">
        <v>95</v>
      </c>
      <c r="D29" s="126">
        <v>44917</v>
      </c>
      <c r="E29" s="208"/>
      <c r="F29" s="208"/>
      <c r="G29" s="132">
        <f t="shared" si="2"/>
        <v>0</v>
      </c>
      <c r="H29" s="208"/>
      <c r="I29" s="208"/>
      <c r="J29" s="132">
        <f t="shared" si="3"/>
        <v>0</v>
      </c>
      <c r="K29" s="209">
        <v>8.5</v>
      </c>
      <c r="L29" s="210">
        <f t="shared" si="0"/>
        <v>0</v>
      </c>
      <c r="M29" s="211"/>
      <c r="N29" s="249">
        <f t="shared" si="1"/>
        <v>-3.2500000000000009</v>
      </c>
      <c r="O29" s="267" t="s">
        <v>216</v>
      </c>
      <c r="P29" s="266">
        <v>8.5</v>
      </c>
      <c r="Q29" s="266"/>
      <c r="R29" s="266"/>
      <c r="S29" s="266"/>
      <c r="T29" s="266"/>
      <c r="U29" s="326"/>
      <c r="V29" s="215"/>
      <c r="W29" s="214"/>
      <c r="X29" s="216"/>
      <c r="Y29" s="121"/>
      <c r="AE29" s="258"/>
      <c r="AH29" s="260"/>
      <c r="AK29" s="138"/>
      <c r="AL29" s="263"/>
      <c r="AN29" s="138"/>
      <c r="AO29" s="263"/>
      <c r="AQ29" s="117" t="s">
        <v>378</v>
      </c>
      <c r="AR29" s="140" t="e">
        <f>#REF!+#REF!</f>
        <v>#REF!</v>
      </c>
    </row>
    <row r="30" spans="1:44" ht="16.05" customHeight="1" thickTop="1" thickBot="1" x14ac:dyDescent="0.35">
      <c r="A30" s="150"/>
      <c r="B30" s="487"/>
      <c r="C30" s="125" t="s">
        <v>96</v>
      </c>
      <c r="D30" s="126">
        <v>44918</v>
      </c>
      <c r="E30" s="127"/>
      <c r="F30" s="127"/>
      <c r="G30" s="227">
        <f t="shared" si="2"/>
        <v>0</v>
      </c>
      <c r="H30" s="127"/>
      <c r="I30" s="127"/>
      <c r="J30" s="227">
        <f t="shared" si="3"/>
        <v>0</v>
      </c>
      <c r="K30" s="115">
        <v>8</v>
      </c>
      <c r="L30" s="147">
        <f t="shared" si="0"/>
        <v>0</v>
      </c>
      <c r="M30" s="205"/>
      <c r="N30" s="250">
        <f t="shared" si="1"/>
        <v>-3.2500000000000009</v>
      </c>
      <c r="O30" s="268" t="s">
        <v>216</v>
      </c>
      <c r="P30" s="269">
        <v>4</v>
      </c>
      <c r="Q30" s="269"/>
      <c r="R30" s="269"/>
      <c r="S30" s="269"/>
      <c r="T30" s="269"/>
      <c r="U30" s="329"/>
      <c r="V30" s="180"/>
      <c r="W30" s="157"/>
      <c r="X30" s="158"/>
      <c r="Y30" s="121"/>
      <c r="AG30" s="259"/>
      <c r="AH30" s="261"/>
      <c r="AK30" s="138"/>
      <c r="AL30" s="263"/>
      <c r="AN30" s="138"/>
      <c r="AO30" s="263"/>
      <c r="AQ30" s="117" t="s">
        <v>379</v>
      </c>
      <c r="AR30" s="117">
        <f>AR39+AS39</f>
        <v>8693.25</v>
      </c>
    </row>
    <row r="31" spans="1:44" ht="1.35" customHeight="1" thickTop="1" thickBot="1" x14ac:dyDescent="0.35">
      <c r="A31" s="150"/>
      <c r="B31" s="185"/>
      <c r="C31" s="143" t="s">
        <v>97</v>
      </c>
      <c r="D31" s="126">
        <v>44919</v>
      </c>
      <c r="E31" s="145"/>
      <c r="F31" s="145"/>
      <c r="G31" s="132">
        <f t="shared" si="2"/>
        <v>0</v>
      </c>
      <c r="H31" s="145"/>
      <c r="I31" s="145"/>
      <c r="J31" s="227">
        <f t="shared" si="3"/>
        <v>0</v>
      </c>
      <c r="K31" s="146">
        <v>8</v>
      </c>
      <c r="L31" s="210"/>
      <c r="M31" s="205"/>
      <c r="N31" s="250">
        <f t="shared" si="1"/>
        <v>-3.2500000000000009</v>
      </c>
      <c r="O31" s="272"/>
      <c r="P31" s="273"/>
      <c r="Q31" s="273"/>
      <c r="R31" s="273"/>
      <c r="S31" s="273"/>
      <c r="T31" s="273"/>
      <c r="U31" s="333"/>
      <c r="V31" s="181"/>
      <c r="W31" s="162"/>
      <c r="X31" s="164"/>
      <c r="Y31" s="121"/>
      <c r="AK31" s="138"/>
      <c r="AL31" s="263"/>
      <c r="AN31" s="138"/>
      <c r="AO31" s="263"/>
    </row>
    <row r="32" spans="1:44" ht="1.35" customHeight="1" thickTop="1" thickBot="1" x14ac:dyDescent="0.35">
      <c r="A32" s="150"/>
      <c r="B32" s="185"/>
      <c r="C32" s="143" t="s">
        <v>98</v>
      </c>
      <c r="D32" s="126">
        <v>44920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210"/>
      <c r="M32" s="205"/>
      <c r="N32" s="250">
        <f t="shared" si="1"/>
        <v>-3.2500000000000009</v>
      </c>
      <c r="O32" s="272"/>
      <c r="P32" s="273"/>
      <c r="Q32" s="273"/>
      <c r="R32" s="273"/>
      <c r="S32" s="273"/>
      <c r="T32" s="273"/>
      <c r="U32" s="333"/>
      <c r="V32" s="181"/>
      <c r="W32" s="162"/>
      <c r="X32" s="164"/>
      <c r="Y32" s="121"/>
      <c r="AK32" s="138"/>
      <c r="AL32" s="263"/>
      <c r="AN32" s="138"/>
      <c r="AO32" s="263"/>
    </row>
    <row r="33" spans="1:45" ht="16.05" customHeight="1" thickTop="1" thickBot="1" x14ac:dyDescent="0.35">
      <c r="A33" s="150"/>
      <c r="B33" s="487">
        <f>_xlfn.ISOWEEKNUM(D33)</f>
        <v>52</v>
      </c>
      <c r="C33" s="206" t="s">
        <v>99</v>
      </c>
      <c r="D33" s="126">
        <v>44921</v>
      </c>
      <c r="E33" s="208"/>
      <c r="F33" s="208"/>
      <c r="G33" s="132">
        <f t="shared" si="2"/>
        <v>0</v>
      </c>
      <c r="H33" s="208"/>
      <c r="I33" s="231"/>
      <c r="J33" s="132">
        <f t="shared" si="3"/>
        <v>0</v>
      </c>
      <c r="K33" s="209">
        <v>8.5</v>
      </c>
      <c r="L33" s="210">
        <f t="shared" si="0"/>
        <v>0</v>
      </c>
      <c r="M33" s="211"/>
      <c r="N33" s="249">
        <f t="shared" si="1"/>
        <v>-3.2500000000000009</v>
      </c>
      <c r="O33" s="267"/>
      <c r="P33" s="266"/>
      <c r="Q33" s="266"/>
      <c r="R33" s="266"/>
      <c r="S33" s="266"/>
      <c r="T33" s="266"/>
      <c r="U33" s="326"/>
      <c r="V33" s="215"/>
      <c r="W33" s="214"/>
      <c r="X33" s="216"/>
      <c r="Y33" s="121"/>
      <c r="AK33" s="138"/>
      <c r="AL33" s="263"/>
      <c r="AN33" s="138"/>
      <c r="AO33" s="263"/>
    </row>
    <row r="34" spans="1:45" ht="16.05" customHeight="1" thickTop="1" thickBot="1" x14ac:dyDescent="0.35">
      <c r="A34" s="150"/>
      <c r="B34" s="487"/>
      <c r="C34" s="125" t="s">
        <v>93</v>
      </c>
      <c r="D34" s="126">
        <v>44922</v>
      </c>
      <c r="E34" s="127"/>
      <c r="F34" s="282"/>
      <c r="G34" s="227">
        <f t="shared" si="2"/>
        <v>0</v>
      </c>
      <c r="H34" s="282"/>
      <c r="I34" s="127"/>
      <c r="J34" s="227">
        <f t="shared" si="3"/>
        <v>0</v>
      </c>
      <c r="K34" s="115">
        <v>8.5</v>
      </c>
      <c r="L34" s="147">
        <f t="shared" si="0"/>
        <v>0</v>
      </c>
      <c r="M34" s="205"/>
      <c r="N34" s="250">
        <f t="shared" si="1"/>
        <v>-3.2500000000000009</v>
      </c>
      <c r="O34" s="268"/>
      <c r="P34" s="269"/>
      <c r="Q34" s="269"/>
      <c r="R34" s="269"/>
      <c r="S34" s="269"/>
      <c r="T34" s="269"/>
      <c r="U34" s="329"/>
      <c r="V34" s="180"/>
      <c r="W34" s="157"/>
      <c r="X34" s="158"/>
      <c r="Y34" s="121"/>
      <c r="AH34" s="260"/>
      <c r="AK34" s="138"/>
      <c r="AL34" s="263"/>
      <c r="AN34" s="138"/>
      <c r="AO34" s="263"/>
    </row>
    <row r="35" spans="1:45" ht="16.05" customHeight="1" thickTop="1" thickBot="1" x14ac:dyDescent="0.35">
      <c r="A35" s="150"/>
      <c r="B35" s="487"/>
      <c r="C35" s="206" t="s">
        <v>94</v>
      </c>
      <c r="D35" s="126">
        <v>44923</v>
      </c>
      <c r="E35" s="337"/>
      <c r="F35" s="337"/>
      <c r="G35" s="444">
        <f t="shared" si="2"/>
        <v>0</v>
      </c>
      <c r="H35" s="337"/>
      <c r="I35" s="208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-3.2500000000000009</v>
      </c>
      <c r="O35" s="267"/>
      <c r="P35" s="266"/>
      <c r="Q35" s="266"/>
      <c r="R35" s="266"/>
      <c r="S35" s="266"/>
      <c r="T35" s="266"/>
      <c r="U35" s="326"/>
      <c r="V35" s="215"/>
      <c r="W35" s="214"/>
      <c r="X35" s="216"/>
      <c r="Y35" s="121"/>
      <c r="AL35" s="263"/>
      <c r="AO35" s="263"/>
    </row>
    <row r="36" spans="1:45" ht="16.350000000000001" customHeight="1" thickTop="1" thickBot="1" x14ac:dyDescent="0.35">
      <c r="A36" s="150"/>
      <c r="B36" s="487"/>
      <c r="C36" s="125" t="s">
        <v>95</v>
      </c>
      <c r="D36" s="126">
        <v>44924</v>
      </c>
      <c r="E36" s="445"/>
      <c r="F36" s="443"/>
      <c r="G36" s="446">
        <f t="shared" si="2"/>
        <v>0</v>
      </c>
      <c r="H36" s="443"/>
      <c r="I36" s="127"/>
      <c r="J36" s="227">
        <f t="shared" si="3"/>
        <v>0</v>
      </c>
      <c r="K36" s="115">
        <v>8.5</v>
      </c>
      <c r="L36" s="147">
        <f t="shared" si="0"/>
        <v>0</v>
      </c>
      <c r="M36" s="205"/>
      <c r="N36" s="250">
        <f>IF(L36&gt;0,(L36-K36)+N35,+N35)</f>
        <v>-3.2500000000000009</v>
      </c>
      <c r="O36" s="268"/>
      <c r="P36" s="269"/>
      <c r="Q36" s="269"/>
      <c r="R36" s="269"/>
      <c r="S36" s="269"/>
      <c r="T36" s="269"/>
      <c r="U36" s="329"/>
      <c r="V36" s="180"/>
      <c r="W36" s="157"/>
      <c r="X36" s="158"/>
      <c r="Y36" s="121"/>
      <c r="AL36" s="263">
        <f>SUM(AL23:AL34)</f>
        <v>0</v>
      </c>
      <c r="AO36" s="263">
        <f>SUM(AO23:AO34)</f>
        <v>0</v>
      </c>
    </row>
    <row r="37" spans="1:45" ht="16.350000000000001" customHeight="1" thickTop="1" thickBot="1" x14ac:dyDescent="0.35">
      <c r="B37" s="244"/>
      <c r="C37" s="206" t="s">
        <v>96</v>
      </c>
      <c r="D37" s="126">
        <v>44925</v>
      </c>
      <c r="E37" s="337"/>
      <c r="F37" s="337"/>
      <c r="G37" s="444">
        <f t="shared" si="2"/>
        <v>0</v>
      </c>
      <c r="H37" s="337"/>
      <c r="I37" s="337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-3.2500000000000009</v>
      </c>
      <c r="O37" s="267"/>
      <c r="P37" s="277"/>
      <c r="Q37" s="277"/>
      <c r="R37" s="277"/>
      <c r="S37" s="277"/>
      <c r="T37" s="277"/>
      <c r="U37" s="334"/>
      <c r="V37" s="225"/>
      <c r="W37" s="224"/>
      <c r="X37" s="226"/>
      <c r="Y37" s="121"/>
      <c r="AL37" s="263"/>
    </row>
    <row r="38" spans="1:45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442">
        <f>SUM(L6:L37)</f>
        <v>114.25</v>
      </c>
      <c r="M38" s="135"/>
      <c r="N38" s="135"/>
      <c r="O38" s="186"/>
      <c r="P38" s="135"/>
      <c r="Q38" s="135"/>
      <c r="R38" s="439"/>
      <c r="S38" s="135"/>
      <c r="T38" s="135"/>
      <c r="U38" s="135"/>
      <c r="V38" s="135"/>
      <c r="W38" s="135"/>
      <c r="X38" s="135"/>
      <c r="Y38" s="137"/>
      <c r="AR38" s="117">
        <v>203333</v>
      </c>
      <c r="AS38" s="117">
        <v>231329.5</v>
      </c>
    </row>
    <row r="39" spans="1:45" ht="15" thickTop="1" thickBot="1" x14ac:dyDescent="0.3">
      <c r="C39" s="138"/>
      <c r="P39" s="139"/>
      <c r="Q39" s="140"/>
      <c r="U39" s="176"/>
      <c r="AQ39" s="139">
        <v>0.02</v>
      </c>
      <c r="AR39" s="117">
        <f>AR38*AQ39</f>
        <v>4066.6600000000003</v>
      </c>
      <c r="AS39" s="117">
        <f>AS38*AQ39</f>
        <v>4626.59</v>
      </c>
    </row>
    <row r="40" spans="1:45" ht="16.8" thickTop="1" thickBot="1" x14ac:dyDescent="0.35">
      <c r="C40" s="491" t="s">
        <v>225</v>
      </c>
      <c r="D40" s="519"/>
      <c r="E40" s="532">
        <f>SUM(E41:E50)</f>
        <v>62</v>
      </c>
      <c r="F40" s="533"/>
      <c r="G40" s="438"/>
      <c r="H40" s="437"/>
      <c r="P40" s="141"/>
      <c r="T40" s="176"/>
      <c r="AR40" s="117">
        <f>AR38-AR39</f>
        <v>199266.34</v>
      </c>
      <c r="AS40" s="117">
        <f>AS38-AS39</f>
        <v>226702.91</v>
      </c>
    </row>
    <row r="41" spans="1:45" ht="14.4" thickTop="1" x14ac:dyDescent="0.25">
      <c r="C41" s="520" t="s">
        <v>139</v>
      </c>
      <c r="D41" s="521"/>
      <c r="E41" s="509">
        <f>SUMIF(O5:O37,"Onyx*",P5:P37)+SUMIF(Q5:Q37,"Onyx*",R5:R37)+SUMIF(S5:S37,"Onyx*",T5:T37)</f>
        <v>12</v>
      </c>
      <c r="F41" s="510"/>
      <c r="P41" s="141"/>
      <c r="U41" s="176"/>
      <c r="AQ41" s="336">
        <v>7.6999999999999999E-2</v>
      </c>
      <c r="AR41" s="117">
        <v>15343.57</v>
      </c>
      <c r="AS41" s="117">
        <v>17456.18</v>
      </c>
    </row>
    <row r="42" spans="1:45" x14ac:dyDescent="0.25">
      <c r="C42" s="495" t="s">
        <v>300</v>
      </c>
      <c r="D42" s="496"/>
      <c r="E42" s="509">
        <f>SUMIF(O5:O37,"Av*",P5:P37)+SUMIF(Q5:Q37,"Av*",R5:R37)+SUMIF(S5:S37,"Av*",T5:T37)</f>
        <v>0</v>
      </c>
      <c r="F42" s="510"/>
      <c r="P42" s="141"/>
      <c r="Q42" s="140"/>
      <c r="U42" s="176"/>
      <c r="AR42" s="140">
        <f>AR40+AR41</f>
        <v>214609.91</v>
      </c>
      <c r="AS42" s="140">
        <f>AS40+AS41</f>
        <v>244159.09</v>
      </c>
    </row>
    <row r="43" spans="1:45" x14ac:dyDescent="0.25">
      <c r="C43" s="493" t="s">
        <v>72</v>
      </c>
      <c r="D43" s="494"/>
      <c r="E43" s="505">
        <f>SUMIF(O5:O37,"Form*",P5:P37)+SUMIF(Q5:Q37,"Form*",R5:R37)+SUMIF(S5:S37,"Form*",T5:T37)</f>
        <v>0</v>
      </c>
      <c r="F43" s="506"/>
      <c r="P43" s="141"/>
      <c r="AR43" s="117">
        <v>214610</v>
      </c>
      <c r="AS43" s="117">
        <v>244159</v>
      </c>
    </row>
    <row r="44" spans="1:45" x14ac:dyDescent="0.25">
      <c r="C44" s="493" t="s">
        <v>216</v>
      </c>
      <c r="D44" s="494"/>
      <c r="E44" s="505">
        <f>SUMIF(O5:O37,"CFPC*",P5:P37)+SUMIF(Q5:Q37,"CFPC*",R5:R37)+SUMIF(S5:S37,"CFPC*",T5:T37)</f>
        <v>50</v>
      </c>
      <c r="F44" s="506"/>
      <c r="AQ44" s="117" t="s">
        <v>376</v>
      </c>
      <c r="AS44" s="117">
        <f>AR40+AS40</f>
        <v>425969.25</v>
      </c>
    </row>
    <row r="45" spans="1:45" x14ac:dyDescent="0.25">
      <c r="C45" s="493" t="s">
        <v>398</v>
      </c>
      <c r="D45" s="494"/>
      <c r="E45" s="505">
        <f>SUMIF(O5:O37,"Fort*",P5:P37)+SUMIF(Q5:Q37,"Fort*",R5:R37)+SUMIF(S5:S37,"Fort*",T5:T37)</f>
        <v>0</v>
      </c>
      <c r="F45" s="506"/>
      <c r="I45" s="117" t="s">
        <v>388</v>
      </c>
    </row>
    <row r="46" spans="1:45" x14ac:dyDescent="0.25">
      <c r="C46" s="493" t="s">
        <v>103</v>
      </c>
      <c r="D46" s="494"/>
      <c r="E46" s="505">
        <f>SUMIF(O5:O37,"Vac*",P5:P37)+SUMIF(Q5:Q37,"Vac*",R5:R37)+SUMIF(S5:S37,"Vac*",T5:T37)</f>
        <v>0</v>
      </c>
      <c r="F46" s="506"/>
      <c r="I46" s="117" t="s">
        <v>389</v>
      </c>
      <c r="AQ46" s="117" t="s">
        <v>377</v>
      </c>
      <c r="AS46" s="140">
        <f>AR42+AS42</f>
        <v>458769</v>
      </c>
    </row>
    <row r="47" spans="1:45" x14ac:dyDescent="0.25">
      <c r="C47" s="493"/>
      <c r="D47" s="494"/>
      <c r="E47" s="505">
        <f>SUMIF(O5:O37,"Clair*",P5:P37)+SUMIF(Q5:Q37,"Clair*",R5:R37)+SUMIF(S5:S37,"Clair*",T5:T37)</f>
        <v>0</v>
      </c>
      <c r="F47" s="506"/>
      <c r="I47" s="117" t="s">
        <v>391</v>
      </c>
      <c r="AS47" s="140">
        <f>AR43+AS43</f>
        <v>458769</v>
      </c>
    </row>
    <row r="48" spans="1:45" x14ac:dyDescent="0.25">
      <c r="C48" s="493"/>
      <c r="D48" s="494"/>
      <c r="E48" s="507">
        <f>SUMIF(O5:O37,"Clair*",P5:P37)+SUMIF(Q5:Q37,"Clair*",R5:R37)+SUMIF(S5:S37,"Clair*",T5:T37)</f>
        <v>0</v>
      </c>
      <c r="F48" s="508"/>
      <c r="I48" s="117" t="s">
        <v>390</v>
      </c>
    </row>
    <row r="49" spans="3:9" x14ac:dyDescent="0.25">
      <c r="C49" s="493"/>
      <c r="D49" s="494"/>
      <c r="E49" s="505">
        <f>SUMIF(O5:O37,"Clair*",P5:P37)+SUMIF(Q5:Q37,"Clair*",R5:R37)+SUMIF(S5:S37,"Clair*",T5:T37)</f>
        <v>0</v>
      </c>
      <c r="F49" s="506"/>
      <c r="I49" s="117" t="s">
        <v>392</v>
      </c>
    </row>
    <row r="50" spans="3:9" x14ac:dyDescent="0.25">
      <c r="C50" s="493"/>
      <c r="D50" s="494"/>
      <c r="E50" s="505">
        <f>SUMIF(O5:O37,"Clair*",P5:P37)+SUMIF(Q5:Q37,"Clair*",R5:R37)+SUMIF(S5:S37,"Clair*",T5:T37)</f>
        <v>0</v>
      </c>
      <c r="F50" s="506"/>
    </row>
    <row r="51" spans="3:9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</row>
    <row r="52" spans="3:9" x14ac:dyDescent="0.25">
      <c r="C52" s="138"/>
    </row>
    <row r="53" spans="3:9" x14ac:dyDescent="0.25">
      <c r="C53" s="138"/>
    </row>
    <row r="54" spans="3:9" x14ac:dyDescent="0.25">
      <c r="C54" s="138"/>
    </row>
    <row r="55" spans="3:9" x14ac:dyDescent="0.25">
      <c r="C55" s="138"/>
      <c r="D55" s="284"/>
      <c r="E55" s="284"/>
      <c r="F55" s="284"/>
    </row>
    <row r="56" spans="3:9" x14ac:dyDescent="0.25">
      <c r="F56" s="285"/>
    </row>
    <row r="57" spans="3:9" x14ac:dyDescent="0.25">
      <c r="F57" s="285"/>
    </row>
    <row r="58" spans="3:9" x14ac:dyDescent="0.25">
      <c r="F58" s="285"/>
    </row>
    <row r="59" spans="3:9" x14ac:dyDescent="0.25">
      <c r="F59" s="285"/>
    </row>
    <row r="60" spans="3:9" x14ac:dyDescent="0.25">
      <c r="F60" s="285"/>
    </row>
    <row r="61" spans="3:9" x14ac:dyDescent="0.25">
      <c r="F61" s="285"/>
    </row>
    <row r="62" spans="3:9" x14ac:dyDescent="0.25">
      <c r="F62" s="285"/>
    </row>
    <row r="65" spans="3:8" x14ac:dyDescent="0.25">
      <c r="C65" s="138"/>
    </row>
    <row r="66" spans="3:8" x14ac:dyDescent="0.25">
      <c r="C66" s="138"/>
    </row>
    <row r="67" spans="3:8" x14ac:dyDescent="0.25">
      <c r="C67" s="138"/>
      <c r="D67" s="284"/>
      <c r="E67" s="284"/>
      <c r="F67" s="284"/>
      <c r="G67" s="284"/>
    </row>
    <row r="68" spans="3:8" x14ac:dyDescent="0.25">
      <c r="C68" s="138"/>
    </row>
    <row r="75" spans="3:8" x14ac:dyDescent="0.25">
      <c r="D75" s="142"/>
    </row>
    <row r="76" spans="3:8" x14ac:dyDescent="0.25">
      <c r="C76" s="138" t="s">
        <v>411</v>
      </c>
      <c r="D76" s="284">
        <v>268.5</v>
      </c>
      <c r="F76" s="117" t="s">
        <v>410</v>
      </c>
      <c r="G76" s="117">
        <f>D76-SUM(D78:D87)</f>
        <v>176.5</v>
      </c>
      <c r="H76" s="117">
        <f>G76/42</f>
        <v>4.2023809523809526</v>
      </c>
    </row>
    <row r="77" spans="3:8" x14ac:dyDescent="0.25">
      <c r="C77" s="138"/>
      <c r="D77" s="284"/>
    </row>
    <row r="78" spans="3:8" x14ac:dyDescent="0.25">
      <c r="C78" s="448" t="s">
        <v>407</v>
      </c>
      <c r="D78" s="284">
        <v>16.5</v>
      </c>
    </row>
    <row r="79" spans="3:8" x14ac:dyDescent="0.25">
      <c r="C79" s="448" t="s">
        <v>408</v>
      </c>
      <c r="D79" s="284">
        <v>42</v>
      </c>
    </row>
    <row r="80" spans="3:8" x14ac:dyDescent="0.25">
      <c r="C80" s="448" t="s">
        <v>409</v>
      </c>
      <c r="D80" s="284">
        <v>33.5</v>
      </c>
    </row>
    <row r="81" spans="3:9" x14ac:dyDescent="0.25">
      <c r="C81" s="448"/>
      <c r="D81" s="284"/>
    </row>
    <row r="82" spans="3:9" x14ac:dyDescent="0.25">
      <c r="C82" s="448"/>
      <c r="D82" s="284"/>
    </row>
    <row r="83" spans="3:9" x14ac:dyDescent="0.25">
      <c r="C83" s="448"/>
      <c r="D83" s="284"/>
    </row>
    <row r="84" spans="3:9" x14ac:dyDescent="0.25">
      <c r="C84" s="448"/>
      <c r="D84" s="142"/>
    </row>
    <row r="85" spans="3:9" x14ac:dyDescent="0.25">
      <c r="C85" s="447"/>
      <c r="D85" s="142"/>
    </row>
    <row r="86" spans="3:9" x14ac:dyDescent="0.25">
      <c r="C86" s="447" t="s">
        <v>419</v>
      </c>
      <c r="D86" s="142"/>
    </row>
    <row r="87" spans="3:9" x14ac:dyDescent="0.25">
      <c r="C87" s="447"/>
      <c r="D87" s="142"/>
    </row>
    <row r="88" spans="3:9" x14ac:dyDescent="0.25">
      <c r="C88" s="117" t="s">
        <v>420</v>
      </c>
      <c r="D88" s="142"/>
    </row>
    <row r="89" spans="3:9" x14ac:dyDescent="0.25">
      <c r="C89" s="117" t="s">
        <v>421</v>
      </c>
      <c r="D89" s="142"/>
    </row>
    <row r="90" spans="3:9" x14ac:dyDescent="0.25">
      <c r="C90" s="117" t="s">
        <v>422</v>
      </c>
      <c r="D90" s="142"/>
    </row>
    <row r="91" spans="3:9" x14ac:dyDescent="0.25">
      <c r="C91" s="117" t="s">
        <v>423</v>
      </c>
      <c r="D91" s="142"/>
    </row>
    <row r="92" spans="3:9" x14ac:dyDescent="0.25">
      <c r="D92" s="142"/>
      <c r="G92" s="140"/>
    </row>
    <row r="93" spans="3:9" x14ac:dyDescent="0.25">
      <c r="D93" s="140"/>
      <c r="G93" s="140"/>
    </row>
    <row r="94" spans="3:9" x14ac:dyDescent="0.25">
      <c r="D94" s="140"/>
      <c r="E94" s="336"/>
    </row>
    <row r="95" spans="3:9" x14ac:dyDescent="0.25">
      <c r="D95" s="140"/>
      <c r="E95" s="336"/>
      <c r="G95" s="336"/>
      <c r="I95" s="336"/>
    </row>
    <row r="96" spans="3:9" x14ac:dyDescent="0.25">
      <c r="D96" s="140"/>
      <c r="E96" s="336"/>
    </row>
    <row r="97" spans="4:5" x14ac:dyDescent="0.25">
      <c r="D97" s="140"/>
      <c r="E97" s="336"/>
    </row>
    <row r="98" spans="4:5" x14ac:dyDescent="0.25">
      <c r="D98" s="142"/>
    </row>
    <row r="99" spans="4:5" x14ac:dyDescent="0.25">
      <c r="D99" s="142"/>
    </row>
    <row r="100" spans="4:5" x14ac:dyDescent="0.25">
      <c r="D100" s="142"/>
    </row>
    <row r="101" spans="4:5" x14ac:dyDescent="0.25">
      <c r="D101" s="142"/>
    </row>
    <row r="102" spans="4:5" x14ac:dyDescent="0.25">
      <c r="D102" s="142"/>
    </row>
    <row r="103" spans="4:5" x14ac:dyDescent="0.25">
      <c r="D103" s="142"/>
    </row>
    <row r="104" spans="4:5" x14ac:dyDescent="0.25">
      <c r="D104" s="142"/>
    </row>
    <row r="105" spans="4:5" x14ac:dyDescent="0.25">
      <c r="D105" s="142"/>
    </row>
    <row r="106" spans="4:5" x14ac:dyDescent="0.25">
      <c r="D106" s="142"/>
    </row>
    <row r="107" spans="4:5" x14ac:dyDescent="0.25">
      <c r="D107" s="142"/>
    </row>
    <row r="108" spans="4:5" x14ac:dyDescent="0.25">
      <c r="D108" s="142"/>
    </row>
    <row r="109" spans="4:5" x14ac:dyDescent="0.25">
      <c r="D109" s="142"/>
    </row>
    <row r="110" spans="4:5" x14ac:dyDescent="0.25">
      <c r="D110" s="142"/>
    </row>
    <row r="111" spans="4:5" x14ac:dyDescent="0.25">
      <c r="D111" s="142"/>
    </row>
    <row r="112" spans="4:5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45" x14ac:dyDescent="0.25">
      <c r="K1048576" s="117">
        <f>SUM(K1:K1048575)</f>
        <v>274</v>
      </c>
      <c r="AS1048576" s="117" t="s">
        <v>83</v>
      </c>
    </row>
  </sheetData>
  <mergeCells count="32">
    <mergeCell ref="C51:D51"/>
    <mergeCell ref="E51:F5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B26:B30"/>
    <mergeCell ref="B33:B36"/>
    <mergeCell ref="C40:D40"/>
    <mergeCell ref="E40:F40"/>
    <mergeCell ref="C41:D41"/>
    <mergeCell ref="E41:F41"/>
    <mergeCell ref="C2:X2"/>
    <mergeCell ref="C3:L3"/>
    <mergeCell ref="O4:X4"/>
    <mergeCell ref="B5:B9"/>
    <mergeCell ref="B12:B16"/>
    <mergeCell ref="B19:B23"/>
  </mergeCells>
  <conditionalFormatting sqref="D5:D37">
    <cfRule type="expression" dxfId="2" priority="2">
      <formula>D5=TODAY()</formula>
    </cfRule>
    <cfRule type="expression" dxfId="1" priority="3">
      <formula>D5&lt;TODAY()</formula>
    </cfRule>
  </conditionalFormatting>
  <conditionalFormatting sqref="G1">
    <cfRule type="expression" dxfId="0" priority="1">
      <formula>$F$1=$E$1</formula>
    </cfRule>
  </conditionalFormatting>
  <dataValidations count="1">
    <dataValidation type="list" allowBlank="1" showInputMessage="1" showErrorMessage="1" sqref="E38 G38" xr:uid="{F0716574-6D37-41CF-8930-99237A540AAF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44</xdr:col>
                    <xdr:colOff>906780</xdr:colOff>
                    <xdr:row>3</xdr:row>
                    <xdr:rowOff>60960</xdr:rowOff>
                  </from>
                  <to>
                    <xdr:col>45</xdr:col>
                    <xdr:colOff>815340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44</xdr:col>
                    <xdr:colOff>906780</xdr:colOff>
                    <xdr:row>4</xdr:row>
                    <xdr:rowOff>60960</xdr:rowOff>
                  </from>
                  <to>
                    <xdr:col>45</xdr:col>
                    <xdr:colOff>807720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44</xdr:col>
                    <xdr:colOff>906780</xdr:colOff>
                    <xdr:row>5</xdr:row>
                    <xdr:rowOff>60960</xdr:rowOff>
                  </from>
                  <to>
                    <xdr:col>45</xdr:col>
                    <xdr:colOff>815340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44</xdr:col>
                    <xdr:colOff>914400</xdr:colOff>
                    <xdr:row>6</xdr:row>
                    <xdr:rowOff>60960</xdr:rowOff>
                  </from>
                  <to>
                    <xdr:col>45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ase à cocher 7">
              <controlPr defaultSize="0" autoFill="0" autoLine="0" autoPict="0" macro="[0]!Caseàcocher7_Cliquer">
                <anchor moveWithCells="1">
                  <from>
                    <xdr:col>44</xdr:col>
                    <xdr:colOff>914400</xdr:colOff>
                    <xdr:row>7</xdr:row>
                    <xdr:rowOff>60960</xdr:rowOff>
                  </from>
                  <to>
                    <xdr:col>45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>
                <anchor moveWithCells="1">
                  <from>
                    <xdr:col>45</xdr:col>
                    <xdr:colOff>807720</xdr:colOff>
                    <xdr:row>3</xdr:row>
                    <xdr:rowOff>60960</xdr:rowOff>
                  </from>
                  <to>
                    <xdr:col>46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>
                <anchor moveWithCells="1">
                  <from>
                    <xdr:col>46</xdr:col>
                    <xdr:colOff>807720</xdr:colOff>
                    <xdr:row>3</xdr:row>
                    <xdr:rowOff>60960</xdr:rowOff>
                  </from>
                  <to>
                    <xdr:col>47</xdr:col>
                    <xdr:colOff>822960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>
                <anchor moveWithCells="1">
                  <from>
                    <xdr:col>45</xdr:col>
                    <xdr:colOff>807720</xdr:colOff>
                    <xdr:row>4</xdr:row>
                    <xdr:rowOff>68580</xdr:rowOff>
                  </from>
                  <to>
                    <xdr:col>46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Check Box 9">
              <controlPr defaultSize="0" autoFill="0" autoLine="0" autoPict="0">
                <anchor moveWithCells="1">
                  <from>
                    <xdr:col>46</xdr:col>
                    <xdr:colOff>807720</xdr:colOff>
                    <xdr:row>4</xdr:row>
                    <xdr:rowOff>68580</xdr:rowOff>
                  </from>
                  <to>
                    <xdr:col>47</xdr:col>
                    <xdr:colOff>822960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Check Box 10">
              <controlPr defaultSize="0" autoFill="0" autoLine="0" autoPict="0">
                <anchor moveWithCells="1">
                  <from>
                    <xdr:col>45</xdr:col>
                    <xdr:colOff>807720</xdr:colOff>
                    <xdr:row>5</xdr:row>
                    <xdr:rowOff>68580</xdr:rowOff>
                  </from>
                  <to>
                    <xdr:col>46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Check Box 11">
              <controlPr defaultSize="0" autoFill="0" autoLine="0" autoPict="0">
                <anchor moveWithCells="1">
                  <from>
                    <xdr:col>46</xdr:col>
                    <xdr:colOff>807720</xdr:colOff>
                    <xdr:row>5</xdr:row>
                    <xdr:rowOff>68580</xdr:rowOff>
                  </from>
                  <to>
                    <xdr:col>47</xdr:col>
                    <xdr:colOff>822960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Check Box 12">
              <controlPr defaultSize="0" autoFill="0" autoLine="0" autoPict="0">
                <anchor moveWithCells="1">
                  <from>
                    <xdr:col>45</xdr:col>
                    <xdr:colOff>807720</xdr:colOff>
                    <xdr:row>6</xdr:row>
                    <xdr:rowOff>60960</xdr:rowOff>
                  </from>
                  <to>
                    <xdr:col>46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6" name="Check Box 13">
              <controlPr defaultSize="0" autoFill="0" autoLine="0" autoPict="0">
                <anchor moveWithCells="1">
                  <from>
                    <xdr:col>46</xdr:col>
                    <xdr:colOff>807720</xdr:colOff>
                    <xdr:row>6</xdr:row>
                    <xdr:rowOff>60960</xdr:rowOff>
                  </from>
                  <to>
                    <xdr:col>47</xdr:col>
                    <xdr:colOff>822960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7" name="Check Box 14">
              <controlPr defaultSize="0" autoFill="0" autoLine="0" autoPict="0">
                <anchor moveWithCells="1">
                  <from>
                    <xdr:col>45</xdr:col>
                    <xdr:colOff>807720</xdr:colOff>
                    <xdr:row>7</xdr:row>
                    <xdr:rowOff>60960</xdr:rowOff>
                  </from>
                  <to>
                    <xdr:col>46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8" name="Check Box 15">
              <controlPr defaultSize="0" autoFill="0" autoLine="0" autoPict="0">
                <anchor moveWithCells="1">
                  <from>
                    <xdr:col>46</xdr:col>
                    <xdr:colOff>807720</xdr:colOff>
                    <xdr:row>7</xdr:row>
                    <xdr:rowOff>60960</xdr:rowOff>
                  </from>
                  <to>
                    <xdr:col>47</xdr:col>
                    <xdr:colOff>822960</xdr:colOff>
                    <xdr:row>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8">
    <tabColor theme="5" tint="0.59999389629810485"/>
  </sheetPr>
  <dimension ref="A1:AO55"/>
  <sheetViews>
    <sheetView zoomScale="40" zoomScaleNormal="40" workbookViewId="0">
      <selection activeCell="R11" sqref="R11"/>
    </sheetView>
  </sheetViews>
  <sheetFormatPr baseColWidth="10" defaultRowHeight="13.8" x14ac:dyDescent="0.25"/>
  <sheetData>
    <row r="1" spans="1:41" ht="15.6" x14ac:dyDescent="0.3">
      <c r="A1" s="550" t="s">
        <v>340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R1" s="338" t="s">
        <v>341</v>
      </c>
    </row>
    <row r="2" spans="1:41" ht="16.2" thickBot="1" x14ac:dyDescent="0.35">
      <c r="A2" s="550" t="s">
        <v>342</v>
      </c>
      <c r="B2" s="550"/>
      <c r="C2" s="550"/>
      <c r="D2" s="550"/>
      <c r="E2" s="550"/>
      <c r="F2" s="550"/>
      <c r="G2" s="550"/>
      <c r="H2" s="550"/>
      <c r="I2" s="550"/>
      <c r="R2" s="550" t="s">
        <v>343</v>
      </c>
      <c r="S2" s="550"/>
      <c r="T2" s="550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J2" s="550" t="s">
        <v>344</v>
      </c>
      <c r="AK2" s="550"/>
      <c r="AL2" s="550"/>
      <c r="AM2" s="550"/>
      <c r="AO2" s="339" t="s">
        <v>345</v>
      </c>
    </row>
    <row r="3" spans="1:41" ht="14.4" thickBot="1" x14ac:dyDescent="0.3">
      <c r="A3" s="340" t="s">
        <v>346</v>
      </c>
      <c r="B3" s="341">
        <v>1</v>
      </c>
      <c r="C3" s="342">
        <v>2</v>
      </c>
      <c r="D3" s="342">
        <v>3</v>
      </c>
      <c r="E3" s="343">
        <v>4</v>
      </c>
      <c r="F3" s="343">
        <v>5</v>
      </c>
      <c r="G3" s="343">
        <v>6</v>
      </c>
      <c r="H3" s="343">
        <v>7</v>
      </c>
      <c r="I3" s="343">
        <v>8</v>
      </c>
      <c r="J3" s="343">
        <v>9</v>
      </c>
      <c r="K3" s="343">
        <v>10</v>
      </c>
      <c r="L3" s="343">
        <v>11</v>
      </c>
      <c r="M3" s="343">
        <v>12</v>
      </c>
      <c r="N3" s="343">
        <v>13</v>
      </c>
      <c r="O3" s="343">
        <v>14</v>
      </c>
      <c r="P3" s="343">
        <v>15</v>
      </c>
      <c r="Q3" s="344" t="s">
        <v>346</v>
      </c>
      <c r="R3" s="343">
        <v>16</v>
      </c>
      <c r="S3" s="343">
        <v>17</v>
      </c>
      <c r="T3" s="343">
        <v>18</v>
      </c>
      <c r="U3" s="343">
        <v>19</v>
      </c>
      <c r="V3" s="343">
        <v>20</v>
      </c>
      <c r="W3" s="343">
        <v>21</v>
      </c>
      <c r="X3" s="343">
        <v>22</v>
      </c>
      <c r="Y3" s="343">
        <v>23</v>
      </c>
      <c r="Z3" s="343">
        <v>24</v>
      </c>
      <c r="AA3" s="342">
        <v>25</v>
      </c>
      <c r="AB3" s="343">
        <v>26</v>
      </c>
      <c r="AC3" s="343">
        <v>27</v>
      </c>
      <c r="AD3" s="343">
        <v>28</v>
      </c>
      <c r="AE3" s="343">
        <v>29</v>
      </c>
      <c r="AF3" s="343">
        <v>30</v>
      </c>
      <c r="AG3" s="345">
        <v>31</v>
      </c>
      <c r="AH3" s="346"/>
      <c r="AI3" s="551" t="s">
        <v>347</v>
      </c>
      <c r="AJ3" s="552"/>
      <c r="AK3" s="552"/>
      <c r="AL3" s="552"/>
      <c r="AM3" s="552"/>
      <c r="AN3" s="552"/>
      <c r="AO3" s="553"/>
    </row>
    <row r="4" spans="1:41" x14ac:dyDescent="0.25">
      <c r="A4" s="347">
        <v>7</v>
      </c>
      <c r="B4" s="348"/>
      <c r="C4" s="349"/>
      <c r="D4" s="349"/>
      <c r="E4" s="350"/>
      <c r="F4" s="428"/>
      <c r="G4" s="428"/>
      <c r="H4" s="423"/>
      <c r="I4" s="423"/>
      <c r="J4" s="423"/>
      <c r="K4" s="423"/>
      <c r="L4" s="423"/>
      <c r="M4" s="423"/>
      <c r="N4" s="423"/>
      <c r="O4" s="423"/>
      <c r="P4" s="352"/>
      <c r="Q4" s="347">
        <v>7</v>
      </c>
      <c r="R4" s="348"/>
      <c r="S4" s="350"/>
      <c r="T4" s="423"/>
      <c r="U4" s="423"/>
      <c r="V4" s="423"/>
      <c r="W4" s="423"/>
      <c r="X4" s="350"/>
      <c r="Y4" s="350"/>
      <c r="Z4" s="350"/>
      <c r="AA4" s="353"/>
      <c r="AB4" s="351"/>
      <c r="AC4" s="351"/>
      <c r="AD4" s="350"/>
      <c r="AE4" s="350"/>
      <c r="AF4" s="350"/>
      <c r="AG4" s="352"/>
      <c r="AH4" s="354"/>
      <c r="AI4" t="s">
        <v>348</v>
      </c>
      <c r="AJ4" s="355"/>
      <c r="AK4" s="356"/>
      <c r="AL4" s="356"/>
      <c r="AM4" s="356"/>
      <c r="AN4" s="356"/>
      <c r="AO4" s="357"/>
    </row>
    <row r="5" spans="1:41" x14ac:dyDescent="0.25">
      <c r="A5" s="537">
        <v>7.3</v>
      </c>
      <c r="B5" s="358"/>
      <c r="C5" s="359"/>
      <c r="D5" s="359"/>
      <c r="E5" s="360"/>
      <c r="F5" s="429"/>
      <c r="G5" s="429"/>
      <c r="H5" s="424"/>
      <c r="I5" s="424"/>
      <c r="J5" s="424"/>
      <c r="K5" s="424"/>
      <c r="L5" s="424"/>
      <c r="M5" s="424"/>
      <c r="N5" s="424"/>
      <c r="O5" s="424"/>
      <c r="P5" s="362"/>
      <c r="Q5" s="537">
        <v>7.3</v>
      </c>
      <c r="R5" s="358"/>
      <c r="S5" s="360"/>
      <c r="T5" s="424"/>
      <c r="U5" s="424"/>
      <c r="V5" s="424"/>
      <c r="W5" s="424"/>
      <c r="X5" s="360"/>
      <c r="Y5" s="360"/>
      <c r="Z5" s="360"/>
      <c r="AA5" s="363"/>
      <c r="AB5" s="361"/>
      <c r="AC5" s="361"/>
      <c r="AD5" s="360"/>
      <c r="AE5" s="360"/>
      <c r="AF5" s="360"/>
      <c r="AG5" s="362"/>
      <c r="AH5" s="364"/>
      <c r="AI5" t="s">
        <v>349</v>
      </c>
      <c r="AJ5" s="356"/>
      <c r="AK5" s="356"/>
      <c r="AL5" s="356"/>
      <c r="AM5" s="356"/>
      <c r="AN5" s="356"/>
      <c r="AO5" s="357"/>
    </row>
    <row r="6" spans="1:41" x14ac:dyDescent="0.25">
      <c r="A6" s="538"/>
      <c r="B6" s="358"/>
      <c r="C6" s="359"/>
      <c r="D6" s="359"/>
      <c r="E6" s="360"/>
      <c r="F6" s="429"/>
      <c r="G6" s="429"/>
      <c r="H6" s="424"/>
      <c r="I6" s="424"/>
      <c r="J6" s="424"/>
      <c r="K6" s="424"/>
      <c r="L6" s="424"/>
      <c r="M6" s="424"/>
      <c r="N6" s="424"/>
      <c r="O6" s="424"/>
      <c r="P6" s="362"/>
      <c r="Q6" s="538"/>
      <c r="R6" s="358"/>
      <c r="S6" s="360"/>
      <c r="T6" s="424"/>
      <c r="U6" s="424"/>
      <c r="V6" s="424"/>
      <c r="W6" s="424"/>
      <c r="X6" s="360"/>
      <c r="Y6" s="360"/>
      <c r="Z6" s="360"/>
      <c r="AA6" s="363"/>
      <c r="AB6" s="361"/>
      <c r="AC6" s="361"/>
      <c r="AD6" s="360"/>
      <c r="AE6" s="360"/>
      <c r="AF6" s="360"/>
      <c r="AG6" s="362"/>
      <c r="AH6" s="364"/>
      <c r="AI6" t="s">
        <v>350</v>
      </c>
      <c r="AJ6" s="356"/>
      <c r="AK6" s="356"/>
      <c r="AL6" s="356"/>
      <c r="AM6" s="356"/>
      <c r="AN6" s="356"/>
      <c r="AO6" s="357"/>
    </row>
    <row r="7" spans="1:41" ht="14.4" thickBot="1" x14ac:dyDescent="0.3">
      <c r="A7" s="537">
        <v>8</v>
      </c>
      <c r="B7" s="365"/>
      <c r="C7" s="366"/>
      <c r="D7" s="366"/>
      <c r="E7" s="367"/>
      <c r="F7" s="430"/>
      <c r="G7" s="430"/>
      <c r="H7" s="426"/>
      <c r="I7" s="426"/>
      <c r="J7" s="426"/>
      <c r="K7" s="426"/>
      <c r="L7" s="426"/>
      <c r="M7" s="426"/>
      <c r="N7" s="426"/>
      <c r="O7" s="426"/>
      <c r="P7" s="369"/>
      <c r="Q7" s="537">
        <v>8</v>
      </c>
      <c r="R7" s="365"/>
      <c r="S7" s="367"/>
      <c r="T7" s="426"/>
      <c r="U7" s="426"/>
      <c r="V7" s="426"/>
      <c r="W7" s="426"/>
      <c r="X7" s="367"/>
      <c r="Y7" s="367"/>
      <c r="Z7" s="367"/>
      <c r="AA7" s="370"/>
      <c r="AB7" s="368"/>
      <c r="AC7" s="368"/>
      <c r="AD7" s="367"/>
      <c r="AE7" s="367"/>
      <c r="AF7" s="367"/>
      <c r="AG7" s="369"/>
      <c r="AH7" s="364"/>
      <c r="AI7" t="s">
        <v>351</v>
      </c>
      <c r="AJ7" s="356"/>
      <c r="AK7" s="356"/>
      <c r="AL7" s="356"/>
      <c r="AM7" s="356"/>
      <c r="AN7" s="356"/>
      <c r="AO7" s="357"/>
    </row>
    <row r="8" spans="1:41" x14ac:dyDescent="0.25">
      <c r="A8" s="538"/>
      <c r="B8" s="371"/>
      <c r="C8" s="372"/>
      <c r="D8" s="372"/>
      <c r="E8" s="373"/>
      <c r="F8" s="374"/>
      <c r="G8" s="374"/>
      <c r="H8" s="373"/>
      <c r="I8" s="373"/>
      <c r="J8" s="373"/>
      <c r="K8" s="373"/>
      <c r="L8" s="373"/>
      <c r="M8" s="374"/>
      <c r="N8" s="374"/>
      <c r="O8" s="373"/>
      <c r="P8" s="375"/>
      <c r="Q8" s="538"/>
      <c r="R8" s="376"/>
      <c r="S8" s="373"/>
      <c r="T8" s="373"/>
      <c r="U8" s="374"/>
      <c r="V8" s="374"/>
      <c r="W8" s="373"/>
      <c r="X8" s="373"/>
      <c r="Y8" s="373"/>
      <c r="Z8" s="373"/>
      <c r="AA8" s="373"/>
      <c r="AB8" s="374"/>
      <c r="AC8" s="374"/>
      <c r="AD8" s="373"/>
      <c r="AE8" s="373"/>
      <c r="AF8" s="373"/>
      <c r="AG8" s="375"/>
      <c r="AH8" s="377">
        <v>8</v>
      </c>
      <c r="AI8" t="s">
        <v>352</v>
      </c>
      <c r="AJ8" s="356"/>
      <c r="AK8" s="356"/>
      <c r="AL8" s="356"/>
      <c r="AM8" s="356"/>
      <c r="AN8" s="356"/>
      <c r="AO8" s="357"/>
    </row>
    <row r="9" spans="1:41" x14ac:dyDescent="0.25">
      <c r="A9" s="537">
        <v>8.3000000000000007</v>
      </c>
      <c r="B9" s="378"/>
      <c r="C9" s="379"/>
      <c r="D9" s="379"/>
      <c r="E9" s="380"/>
      <c r="F9" s="361"/>
      <c r="G9" s="361"/>
      <c r="H9" s="380"/>
      <c r="I9" s="380"/>
      <c r="J9" s="380"/>
      <c r="K9" s="380"/>
      <c r="L9" s="380"/>
      <c r="M9" s="361"/>
      <c r="N9" s="361"/>
      <c r="O9" s="380"/>
      <c r="P9" s="381"/>
      <c r="Q9" s="537">
        <v>8.3000000000000007</v>
      </c>
      <c r="R9" s="382"/>
      <c r="S9" s="380"/>
      <c r="T9" s="380"/>
      <c r="U9" s="361"/>
      <c r="V9" s="361"/>
      <c r="W9" s="380"/>
      <c r="X9" s="380"/>
      <c r="Y9" s="380"/>
      <c r="Z9" s="380"/>
      <c r="AA9" s="380"/>
      <c r="AB9" s="361"/>
      <c r="AC9" s="361"/>
      <c r="AD9" s="380"/>
      <c r="AE9" s="380"/>
      <c r="AF9" s="380"/>
      <c r="AG9" s="381"/>
      <c r="AH9" s="547" t="s">
        <v>353</v>
      </c>
      <c r="AI9" t="s">
        <v>354</v>
      </c>
      <c r="AJ9" s="356"/>
      <c r="AK9" s="356"/>
      <c r="AL9" s="356"/>
      <c r="AM9" s="356"/>
      <c r="AN9" s="356"/>
      <c r="AO9" s="357"/>
    </row>
    <row r="10" spans="1:41" x14ac:dyDescent="0.25">
      <c r="A10" s="538"/>
      <c r="B10" s="378"/>
      <c r="C10" s="379"/>
      <c r="D10" s="379"/>
      <c r="E10" s="380"/>
      <c r="F10" s="361"/>
      <c r="G10" s="361"/>
      <c r="H10" s="380"/>
      <c r="I10" s="380"/>
      <c r="J10" s="380"/>
      <c r="K10" s="380"/>
      <c r="L10" s="380"/>
      <c r="M10" s="361"/>
      <c r="N10" s="361"/>
      <c r="O10" s="380"/>
      <c r="P10" s="381"/>
      <c r="Q10" s="538"/>
      <c r="R10" s="382"/>
      <c r="S10" s="380"/>
      <c r="T10" s="380"/>
      <c r="U10" s="361"/>
      <c r="V10" s="361"/>
      <c r="W10" s="380"/>
      <c r="X10" s="380"/>
      <c r="Y10" s="380"/>
      <c r="Z10" s="380"/>
      <c r="AA10" s="380"/>
      <c r="AB10" s="361"/>
      <c r="AC10" s="361"/>
      <c r="AD10" s="380"/>
      <c r="AE10" s="380"/>
      <c r="AF10" s="380"/>
      <c r="AG10" s="381"/>
      <c r="AH10" s="547"/>
      <c r="AI10" t="s">
        <v>355</v>
      </c>
      <c r="AJ10" s="356"/>
      <c r="AK10" s="356"/>
      <c r="AL10" s="356"/>
      <c r="AM10" s="356"/>
      <c r="AN10" s="356"/>
      <c r="AO10" s="357"/>
    </row>
    <row r="11" spans="1:41" x14ac:dyDescent="0.25">
      <c r="A11" s="537">
        <v>9</v>
      </c>
      <c r="B11" s="378"/>
      <c r="C11" s="379"/>
      <c r="D11" s="379"/>
      <c r="E11" s="380"/>
      <c r="F11" s="361"/>
      <c r="G11" s="361"/>
      <c r="H11" s="380"/>
      <c r="I11" s="380"/>
      <c r="J11" s="380"/>
      <c r="K11" s="380"/>
      <c r="L11" s="380"/>
      <c r="M11" s="361"/>
      <c r="N11" s="361"/>
      <c r="O11" s="380"/>
      <c r="P11" s="381"/>
      <c r="Q11" s="537">
        <v>9</v>
      </c>
      <c r="R11" s="382"/>
      <c r="S11" s="380"/>
      <c r="T11" s="380"/>
      <c r="U11" s="361"/>
      <c r="V11" s="361"/>
      <c r="W11" s="380"/>
      <c r="X11" s="380"/>
      <c r="Y11" s="380"/>
      <c r="Z11" s="380"/>
      <c r="AA11" s="380"/>
      <c r="AB11" s="361"/>
      <c r="AC11" s="361"/>
      <c r="AD11" s="380"/>
      <c r="AE11" s="380"/>
      <c r="AF11" s="380"/>
      <c r="AG11" s="381"/>
      <c r="AH11" s="547"/>
      <c r="AI11" t="s">
        <v>356</v>
      </c>
      <c r="AJ11" s="356"/>
      <c r="AK11" s="356"/>
      <c r="AL11" s="356"/>
      <c r="AM11" s="356"/>
      <c r="AN11" s="356"/>
      <c r="AO11" s="357"/>
    </row>
    <row r="12" spans="1:41" x14ac:dyDescent="0.25">
      <c r="A12" s="538"/>
      <c r="B12" s="378"/>
      <c r="C12" s="379"/>
      <c r="D12" s="379"/>
      <c r="E12" s="380"/>
      <c r="F12" s="361"/>
      <c r="G12" s="361"/>
      <c r="H12" s="380"/>
      <c r="I12" s="380"/>
      <c r="J12" s="380"/>
      <c r="K12" s="380"/>
      <c r="L12" s="380"/>
      <c r="M12" s="361"/>
      <c r="N12" s="361"/>
      <c r="O12" s="380"/>
      <c r="P12" s="381"/>
      <c r="Q12" s="538"/>
      <c r="R12" s="382"/>
      <c r="S12" s="380"/>
      <c r="T12" s="380"/>
      <c r="U12" s="361"/>
      <c r="V12" s="361"/>
      <c r="W12" s="380"/>
      <c r="X12" s="380"/>
      <c r="Y12" s="380"/>
      <c r="Z12" s="380"/>
      <c r="AA12" s="380"/>
      <c r="AB12" s="361"/>
      <c r="AC12" s="361"/>
      <c r="AD12" s="380"/>
      <c r="AE12" s="380"/>
      <c r="AF12" s="380"/>
      <c r="AG12" s="381"/>
      <c r="AH12" s="547"/>
      <c r="AI12" t="s">
        <v>357</v>
      </c>
      <c r="AJ12" s="356"/>
      <c r="AK12" s="356"/>
      <c r="AL12" s="356"/>
      <c r="AM12" s="356"/>
      <c r="AN12" s="356"/>
      <c r="AO12" s="357"/>
    </row>
    <row r="13" spans="1:41" x14ac:dyDescent="0.25">
      <c r="A13" s="537">
        <v>9.3000000000000007</v>
      </c>
      <c r="B13" s="378"/>
      <c r="C13" s="379"/>
      <c r="D13" s="379"/>
      <c r="E13" s="380"/>
      <c r="F13" s="361"/>
      <c r="G13" s="361"/>
      <c r="H13" s="380"/>
      <c r="I13" s="380"/>
      <c r="J13" s="380"/>
      <c r="K13" s="380"/>
      <c r="L13" s="380"/>
      <c r="M13" s="361"/>
      <c r="N13" s="361"/>
      <c r="O13" s="380"/>
      <c r="P13" s="381"/>
      <c r="Q13" s="537">
        <v>9.3000000000000007</v>
      </c>
      <c r="R13" s="382"/>
      <c r="S13" s="380"/>
      <c r="T13" s="380"/>
      <c r="U13" s="361"/>
      <c r="V13" s="361"/>
      <c r="W13" s="380"/>
      <c r="X13" s="380"/>
      <c r="Y13" s="380"/>
      <c r="Z13" s="380"/>
      <c r="AA13" s="380"/>
      <c r="AB13" s="361"/>
      <c r="AC13" s="361"/>
      <c r="AD13" s="380"/>
      <c r="AE13" s="380"/>
      <c r="AF13" s="380"/>
      <c r="AG13" s="381"/>
      <c r="AH13" s="547"/>
      <c r="AI13" t="s">
        <v>358</v>
      </c>
      <c r="AJ13" s="356"/>
      <c r="AK13" s="356"/>
      <c r="AL13" s="356"/>
      <c r="AM13" s="356"/>
      <c r="AN13" s="356"/>
      <c r="AO13" s="357"/>
    </row>
    <row r="14" spans="1:41" x14ac:dyDescent="0.25">
      <c r="A14" s="538"/>
      <c r="B14" s="378"/>
      <c r="C14" s="379"/>
      <c r="D14" s="379"/>
      <c r="E14" s="380"/>
      <c r="F14" s="361"/>
      <c r="G14" s="361"/>
      <c r="H14" s="380"/>
      <c r="I14" s="380"/>
      <c r="J14" s="380"/>
      <c r="K14" s="380"/>
      <c r="L14" s="380"/>
      <c r="M14" s="361"/>
      <c r="N14" s="361"/>
      <c r="O14" s="380"/>
      <c r="P14" s="381"/>
      <c r="Q14" s="538"/>
      <c r="R14" s="382"/>
      <c r="S14" s="380"/>
      <c r="T14" s="380"/>
      <c r="U14" s="361"/>
      <c r="V14" s="361"/>
      <c r="W14" s="380"/>
      <c r="X14" s="380"/>
      <c r="Y14" s="380"/>
      <c r="Z14" s="380"/>
      <c r="AA14" s="380"/>
      <c r="AB14" s="361"/>
      <c r="AC14" s="361"/>
      <c r="AD14" s="380"/>
      <c r="AE14" s="380"/>
      <c r="AF14" s="380"/>
      <c r="AG14" s="381"/>
      <c r="AH14" s="547"/>
      <c r="AI14" t="s">
        <v>359</v>
      </c>
      <c r="AJ14" s="356"/>
      <c r="AK14" s="356"/>
      <c r="AL14" s="356"/>
      <c r="AM14" s="356"/>
      <c r="AN14" s="356"/>
      <c r="AO14" s="357"/>
    </row>
    <row r="15" spans="1:41" x14ac:dyDescent="0.25">
      <c r="A15" s="537">
        <v>10</v>
      </c>
      <c r="B15" s="378"/>
      <c r="C15" s="379"/>
      <c r="D15" s="379"/>
      <c r="E15" s="380"/>
      <c r="F15" s="361"/>
      <c r="G15" s="361"/>
      <c r="H15" s="380"/>
      <c r="I15" s="380"/>
      <c r="J15" s="380"/>
      <c r="K15" s="380"/>
      <c r="L15" s="380"/>
      <c r="M15" s="361"/>
      <c r="N15" s="361"/>
      <c r="O15" s="380"/>
      <c r="P15" s="381"/>
      <c r="Q15" s="537">
        <v>10</v>
      </c>
      <c r="R15" s="382"/>
      <c r="S15" s="380"/>
      <c r="T15" s="380"/>
      <c r="U15" s="361"/>
      <c r="V15" s="361"/>
      <c r="W15" s="380"/>
      <c r="X15" s="380"/>
      <c r="Y15" s="380"/>
      <c r="Z15" s="380"/>
      <c r="AA15" s="380"/>
      <c r="AB15" s="361"/>
      <c r="AC15" s="361"/>
      <c r="AD15" s="380"/>
      <c r="AE15" s="380"/>
      <c r="AF15" s="380"/>
      <c r="AG15" s="381"/>
      <c r="AH15" s="547"/>
      <c r="AI15" t="s">
        <v>360</v>
      </c>
      <c r="AJ15" s="356"/>
      <c r="AK15" s="356"/>
      <c r="AL15" s="356"/>
      <c r="AM15" s="356"/>
      <c r="AN15" s="356"/>
      <c r="AO15" s="357"/>
    </row>
    <row r="16" spans="1:41" x14ac:dyDescent="0.25">
      <c r="A16" s="538"/>
      <c r="B16" s="378"/>
      <c r="C16" s="379"/>
      <c r="D16" s="379"/>
      <c r="E16" s="380"/>
      <c r="F16" s="361"/>
      <c r="G16" s="361"/>
      <c r="H16" s="380"/>
      <c r="I16" s="380"/>
      <c r="J16" s="380"/>
      <c r="K16" s="380"/>
      <c r="L16" s="380"/>
      <c r="M16" s="361"/>
      <c r="N16" s="361"/>
      <c r="O16" s="380"/>
      <c r="P16" s="381"/>
      <c r="Q16" s="538"/>
      <c r="R16" s="382"/>
      <c r="S16" s="380"/>
      <c r="T16" s="380"/>
      <c r="U16" s="361"/>
      <c r="V16" s="361"/>
      <c r="W16" s="380"/>
      <c r="X16" s="380"/>
      <c r="Y16" s="380"/>
      <c r="Z16" s="380"/>
      <c r="AA16" s="380"/>
      <c r="AB16" s="361"/>
      <c r="AC16" s="361"/>
      <c r="AD16" s="380"/>
      <c r="AE16" s="380"/>
      <c r="AF16" s="380"/>
      <c r="AG16" s="381"/>
      <c r="AH16" s="547"/>
      <c r="AI16" t="s">
        <v>361</v>
      </c>
      <c r="AJ16" s="356"/>
      <c r="AK16" s="356"/>
      <c r="AL16" s="356"/>
      <c r="AM16" s="356"/>
      <c r="AN16" s="356"/>
      <c r="AO16" s="357"/>
    </row>
    <row r="17" spans="1:41" x14ac:dyDescent="0.25">
      <c r="A17" s="537">
        <v>10.3</v>
      </c>
      <c r="B17" s="378"/>
      <c r="C17" s="379"/>
      <c r="D17" s="379"/>
      <c r="E17" s="380"/>
      <c r="F17" s="361"/>
      <c r="G17" s="361"/>
      <c r="H17" s="380"/>
      <c r="I17" s="380"/>
      <c r="J17" s="380"/>
      <c r="K17" s="380"/>
      <c r="L17" s="380"/>
      <c r="M17" s="361"/>
      <c r="N17" s="361"/>
      <c r="O17" s="380"/>
      <c r="P17" s="381"/>
      <c r="Q17" s="537">
        <v>10.3</v>
      </c>
      <c r="R17" s="382"/>
      <c r="S17" s="380"/>
      <c r="T17" s="380"/>
      <c r="U17" s="361"/>
      <c r="V17" s="361"/>
      <c r="W17" s="380"/>
      <c r="X17" s="380"/>
      <c r="Y17" s="380"/>
      <c r="Z17" s="380"/>
      <c r="AA17" s="380"/>
      <c r="AB17" s="361"/>
      <c r="AC17" s="361"/>
      <c r="AD17" s="380"/>
      <c r="AE17" s="380"/>
      <c r="AF17" s="380"/>
      <c r="AG17" s="381"/>
      <c r="AH17" s="547"/>
      <c r="AI17" t="s">
        <v>362</v>
      </c>
      <c r="AJ17" s="356"/>
      <c r="AK17" s="356"/>
      <c r="AL17" s="356"/>
      <c r="AM17" s="356"/>
      <c r="AN17" s="356"/>
      <c r="AO17" s="357"/>
    </row>
    <row r="18" spans="1:41" x14ac:dyDescent="0.25">
      <c r="A18" s="538"/>
      <c r="B18" s="378"/>
      <c r="C18" s="379"/>
      <c r="D18" s="379"/>
      <c r="E18" s="380"/>
      <c r="F18" s="361"/>
      <c r="G18" s="361"/>
      <c r="H18" s="380"/>
      <c r="I18" s="380"/>
      <c r="J18" s="380"/>
      <c r="K18" s="380"/>
      <c r="L18" s="380"/>
      <c r="M18" s="361"/>
      <c r="N18" s="361"/>
      <c r="O18" s="380"/>
      <c r="P18" s="381"/>
      <c r="Q18" s="538"/>
      <c r="R18" s="382"/>
      <c r="S18" s="380"/>
      <c r="T18" s="380"/>
      <c r="U18" s="361"/>
      <c r="V18" s="361"/>
      <c r="W18" s="380"/>
      <c r="X18" s="380"/>
      <c r="Y18" s="380"/>
      <c r="Z18" s="380"/>
      <c r="AA18" s="380"/>
      <c r="AB18" s="361"/>
      <c r="AC18" s="361"/>
      <c r="AD18" s="380"/>
      <c r="AE18" s="380"/>
      <c r="AF18" s="380"/>
      <c r="AG18" s="381"/>
      <c r="AH18" s="547"/>
      <c r="AI18" t="s">
        <v>363</v>
      </c>
      <c r="AJ18" s="356"/>
      <c r="AK18" s="356"/>
      <c r="AL18" s="356"/>
      <c r="AM18" s="356"/>
      <c r="AN18" s="356"/>
      <c r="AO18" s="357"/>
    </row>
    <row r="19" spans="1:41" x14ac:dyDescent="0.25">
      <c r="A19" s="537">
        <v>11</v>
      </c>
      <c r="B19" s="378"/>
      <c r="C19" s="379"/>
      <c r="D19" s="379"/>
      <c r="E19" s="380"/>
      <c r="F19" s="361"/>
      <c r="G19" s="361"/>
      <c r="H19" s="380"/>
      <c r="I19" s="380"/>
      <c r="J19" s="380"/>
      <c r="K19" s="380"/>
      <c r="L19" s="380"/>
      <c r="M19" s="361"/>
      <c r="N19" s="361"/>
      <c r="O19" s="380"/>
      <c r="P19" s="381"/>
      <c r="Q19" s="537">
        <v>11</v>
      </c>
      <c r="R19" s="382"/>
      <c r="S19" s="380"/>
      <c r="T19" s="380"/>
      <c r="U19" s="361"/>
      <c r="V19" s="361"/>
      <c r="W19" s="380"/>
      <c r="X19" s="380"/>
      <c r="Y19" s="380"/>
      <c r="Z19" s="380"/>
      <c r="AA19" s="380"/>
      <c r="AB19" s="361"/>
      <c r="AC19" s="361"/>
      <c r="AD19" s="380"/>
      <c r="AE19" s="380"/>
      <c r="AF19" s="380"/>
      <c r="AG19" s="381"/>
      <c r="AH19" s="547"/>
      <c r="AI19" t="s">
        <v>364</v>
      </c>
      <c r="AJ19" s="356"/>
      <c r="AK19" s="356"/>
      <c r="AL19" s="356"/>
      <c r="AM19" s="356"/>
      <c r="AN19" s="356"/>
      <c r="AO19" s="357"/>
    </row>
    <row r="20" spans="1:41" x14ac:dyDescent="0.25">
      <c r="A20" s="538"/>
      <c r="B20" s="378"/>
      <c r="C20" s="379"/>
      <c r="D20" s="379"/>
      <c r="E20" s="380"/>
      <c r="F20" s="361"/>
      <c r="G20" s="361"/>
      <c r="H20" s="380"/>
      <c r="I20" s="380"/>
      <c r="J20" s="380"/>
      <c r="K20" s="380"/>
      <c r="L20" s="380"/>
      <c r="M20" s="361"/>
      <c r="N20" s="361"/>
      <c r="O20" s="380"/>
      <c r="P20" s="381"/>
      <c r="Q20" s="538"/>
      <c r="R20" s="382"/>
      <c r="S20" s="380"/>
      <c r="T20" s="380"/>
      <c r="U20" s="361"/>
      <c r="V20" s="361"/>
      <c r="W20" s="380"/>
      <c r="X20" s="380"/>
      <c r="Y20" s="380"/>
      <c r="Z20" s="380"/>
      <c r="AA20" s="380"/>
      <c r="AB20" s="361"/>
      <c r="AC20" s="361"/>
      <c r="AD20" s="380"/>
      <c r="AE20" s="380"/>
      <c r="AF20" s="380"/>
      <c r="AG20" s="381"/>
      <c r="AH20" s="547"/>
      <c r="AI20" t="s">
        <v>365</v>
      </c>
      <c r="AJ20" s="356"/>
      <c r="AK20" s="356"/>
      <c r="AL20" s="356"/>
      <c r="AM20" s="356"/>
      <c r="AN20" s="356"/>
      <c r="AO20" s="357"/>
    </row>
    <row r="21" spans="1:41" x14ac:dyDescent="0.25">
      <c r="A21" s="537">
        <v>11.3</v>
      </c>
      <c r="B21" s="378"/>
      <c r="C21" s="379"/>
      <c r="D21" s="379"/>
      <c r="E21" s="380"/>
      <c r="F21" s="361"/>
      <c r="G21" s="361"/>
      <c r="H21" s="380"/>
      <c r="I21" s="380"/>
      <c r="J21" s="380"/>
      <c r="K21" s="380"/>
      <c r="L21" s="380"/>
      <c r="M21" s="361"/>
      <c r="N21" s="361"/>
      <c r="O21" s="380"/>
      <c r="P21" s="381"/>
      <c r="Q21" s="537">
        <v>11.3</v>
      </c>
      <c r="R21" s="382"/>
      <c r="S21" s="380"/>
      <c r="T21" s="380"/>
      <c r="U21" s="361"/>
      <c r="V21" s="361"/>
      <c r="W21" s="380"/>
      <c r="X21" s="380"/>
      <c r="Y21" s="380"/>
      <c r="Z21" s="380"/>
      <c r="AA21" s="380"/>
      <c r="AB21" s="361"/>
      <c r="AC21" s="361"/>
      <c r="AD21" s="380"/>
      <c r="AE21" s="380"/>
      <c r="AF21" s="380"/>
      <c r="AG21" s="381"/>
      <c r="AH21" s="547"/>
      <c r="AI21" t="s">
        <v>366</v>
      </c>
      <c r="AJ21" s="356"/>
      <c r="AK21" s="356"/>
      <c r="AL21" s="356"/>
      <c r="AM21" s="356"/>
      <c r="AN21" s="356"/>
      <c r="AO21" s="357"/>
    </row>
    <row r="22" spans="1:41" ht="14.4" thickBot="1" x14ac:dyDescent="0.3">
      <c r="A22" s="538"/>
      <c r="B22" s="383"/>
      <c r="C22" s="384"/>
      <c r="D22" s="384"/>
      <c r="E22" s="385"/>
      <c r="F22" s="386"/>
      <c r="G22" s="386"/>
      <c r="H22" s="385"/>
      <c r="I22" s="385"/>
      <c r="J22" s="385"/>
      <c r="K22" s="385"/>
      <c r="L22" s="385"/>
      <c r="M22" s="386"/>
      <c r="N22" s="386"/>
      <c r="O22" s="385"/>
      <c r="P22" s="387"/>
      <c r="Q22" s="538"/>
      <c r="R22" s="388"/>
      <c r="S22" s="385"/>
      <c r="T22" s="385"/>
      <c r="U22" s="386"/>
      <c r="V22" s="386"/>
      <c r="W22" s="385"/>
      <c r="X22" s="385"/>
      <c r="Y22" s="385"/>
      <c r="Z22" s="385"/>
      <c r="AA22" s="385"/>
      <c r="AB22" s="386"/>
      <c r="AC22" s="386"/>
      <c r="AD22" s="385"/>
      <c r="AE22" s="385"/>
      <c r="AF22" s="385"/>
      <c r="AG22" s="387"/>
      <c r="AH22" s="389">
        <v>11.45</v>
      </c>
      <c r="AI22" t="s">
        <v>367</v>
      </c>
      <c r="AJ22" s="356"/>
      <c r="AK22" s="356"/>
      <c r="AL22" s="356"/>
      <c r="AM22" s="356"/>
      <c r="AN22" s="356"/>
      <c r="AO22" s="357"/>
    </row>
    <row r="23" spans="1:41" x14ac:dyDescent="0.25">
      <c r="A23" s="548" t="s">
        <v>368</v>
      </c>
      <c r="B23" s="348"/>
      <c r="C23" s="349"/>
      <c r="D23" s="349"/>
      <c r="E23" s="350"/>
      <c r="F23" s="423"/>
      <c r="G23" s="423"/>
      <c r="H23" s="350"/>
      <c r="I23" s="350"/>
      <c r="J23" s="350"/>
      <c r="K23" s="350"/>
      <c r="L23" s="423"/>
      <c r="M23" s="423"/>
      <c r="N23" s="423"/>
      <c r="O23" s="423"/>
      <c r="P23" s="352"/>
      <c r="Q23" s="549" t="s">
        <v>368</v>
      </c>
      <c r="R23" s="348"/>
      <c r="S23" s="350"/>
      <c r="T23" s="423"/>
      <c r="U23" s="423"/>
      <c r="V23" s="423"/>
      <c r="W23" s="423"/>
      <c r="X23" s="350"/>
      <c r="Y23" s="350"/>
      <c r="Z23" s="350"/>
      <c r="AA23" s="353"/>
      <c r="AB23" s="351"/>
      <c r="AC23" s="351"/>
      <c r="AD23" s="350"/>
      <c r="AE23" s="350"/>
      <c r="AF23" s="350"/>
      <c r="AG23" s="352"/>
      <c r="AH23" s="364"/>
      <c r="AI23" t="s">
        <v>369</v>
      </c>
      <c r="AJ23" s="356"/>
      <c r="AK23" s="356"/>
      <c r="AL23" s="356"/>
      <c r="AM23" s="356"/>
      <c r="AN23" s="356"/>
      <c r="AO23" s="357"/>
    </row>
    <row r="24" spans="1:41" ht="14.4" thickBot="1" x14ac:dyDescent="0.3">
      <c r="A24" s="548"/>
      <c r="B24" s="365"/>
      <c r="C24" s="366"/>
      <c r="D24" s="366"/>
      <c r="E24" s="367"/>
      <c r="F24" s="426"/>
      <c r="G24" s="426"/>
      <c r="H24" s="367"/>
      <c r="I24" s="367"/>
      <c r="J24" s="367"/>
      <c r="K24" s="367"/>
      <c r="L24" s="426"/>
      <c r="M24" s="426"/>
      <c r="N24" s="426"/>
      <c r="O24" s="426"/>
      <c r="P24" s="369"/>
      <c r="Q24" s="548"/>
      <c r="R24" s="358"/>
      <c r="S24" s="360"/>
      <c r="T24" s="424"/>
      <c r="U24" s="424"/>
      <c r="V24" s="424"/>
      <c r="W24" s="424"/>
      <c r="X24" s="360"/>
      <c r="Y24" s="360"/>
      <c r="Z24" s="360"/>
      <c r="AA24" s="363"/>
      <c r="AB24" s="361"/>
      <c r="AC24" s="361"/>
      <c r="AD24" s="360"/>
      <c r="AE24" s="360"/>
      <c r="AF24" s="360"/>
      <c r="AG24" s="362"/>
      <c r="AH24" s="364"/>
      <c r="AI24" t="s">
        <v>370</v>
      </c>
      <c r="AJ24" s="356"/>
      <c r="AK24" s="356"/>
      <c r="AL24" s="356"/>
      <c r="AM24" s="356"/>
      <c r="AN24" s="356"/>
      <c r="AO24" s="357"/>
    </row>
    <row r="25" spans="1:41" ht="14.4" thickBot="1" x14ac:dyDescent="0.3">
      <c r="A25" s="548"/>
      <c r="B25" s="390"/>
      <c r="C25" s="391"/>
      <c r="D25" s="391"/>
      <c r="E25" s="392"/>
      <c r="F25" s="427"/>
      <c r="G25" s="427"/>
      <c r="H25" s="392"/>
      <c r="I25" s="392"/>
      <c r="J25" s="392"/>
      <c r="K25" s="392"/>
      <c r="L25" s="427"/>
      <c r="M25" s="427"/>
      <c r="N25" s="427"/>
      <c r="O25" s="427"/>
      <c r="P25" s="394"/>
      <c r="Q25" s="548"/>
      <c r="R25" s="392"/>
      <c r="S25" s="391"/>
      <c r="T25" s="434"/>
      <c r="U25" s="427"/>
      <c r="V25" s="427"/>
      <c r="W25" s="427"/>
      <c r="X25" s="392"/>
      <c r="Y25" s="392"/>
      <c r="Z25" s="392"/>
      <c r="AA25" s="392"/>
      <c r="AB25" s="393"/>
      <c r="AC25" s="393"/>
      <c r="AD25" s="392"/>
      <c r="AE25" s="392"/>
      <c r="AF25" s="395"/>
      <c r="AG25" s="394"/>
      <c r="AH25" s="396"/>
      <c r="AI25" t="s">
        <v>371</v>
      </c>
      <c r="AJ25" s="356"/>
      <c r="AK25" s="356"/>
      <c r="AL25" s="356"/>
      <c r="AM25" s="356"/>
      <c r="AN25" s="356"/>
      <c r="AO25" s="357"/>
    </row>
    <row r="26" spans="1:41" x14ac:dyDescent="0.25">
      <c r="A26" s="548"/>
      <c r="B26" s="358"/>
      <c r="C26" s="359"/>
      <c r="D26" s="359"/>
      <c r="E26" s="360"/>
      <c r="F26" s="424"/>
      <c r="G26" s="424"/>
      <c r="H26" s="360"/>
      <c r="I26" s="360"/>
      <c r="J26" s="360"/>
      <c r="K26" s="360"/>
      <c r="L26" s="424"/>
      <c r="M26" s="424"/>
      <c r="N26" s="424"/>
      <c r="O26" s="424"/>
      <c r="P26" s="362"/>
      <c r="Q26" s="548"/>
      <c r="R26" s="358"/>
      <c r="S26" s="360"/>
      <c r="T26" s="424"/>
      <c r="U26" s="424"/>
      <c r="V26" s="424"/>
      <c r="W26" s="424"/>
      <c r="X26" s="360"/>
      <c r="Y26" s="360"/>
      <c r="Z26" s="360"/>
      <c r="AA26" s="363"/>
      <c r="AB26" s="361"/>
      <c r="AC26" s="361"/>
      <c r="AD26" s="360"/>
      <c r="AE26" s="360"/>
      <c r="AF26" s="360"/>
      <c r="AG26" s="362"/>
      <c r="AH26" s="364"/>
      <c r="AJ26" s="356"/>
      <c r="AK26" s="356"/>
      <c r="AL26" s="356"/>
      <c r="AM26" s="356"/>
      <c r="AN26" s="356"/>
      <c r="AO26" s="357"/>
    </row>
    <row r="27" spans="1:41" x14ac:dyDescent="0.25">
      <c r="A27" s="537">
        <v>13.3</v>
      </c>
      <c r="B27" s="358"/>
      <c r="C27" s="359"/>
      <c r="D27" s="359"/>
      <c r="E27" s="360"/>
      <c r="F27" s="424"/>
      <c r="G27" s="424"/>
      <c r="H27" s="360"/>
      <c r="I27" s="360"/>
      <c r="J27" s="360"/>
      <c r="K27" s="360"/>
      <c r="L27" s="424"/>
      <c r="M27" s="424"/>
      <c r="N27" s="424"/>
      <c r="O27" s="424"/>
      <c r="P27" s="362"/>
      <c r="Q27" s="537">
        <v>13.3</v>
      </c>
      <c r="R27" s="358"/>
      <c r="S27" s="360"/>
      <c r="T27" s="424"/>
      <c r="U27" s="424"/>
      <c r="V27" s="424"/>
      <c r="W27" s="424"/>
      <c r="X27" s="360"/>
      <c r="Y27" s="360"/>
      <c r="Z27" s="360"/>
      <c r="AA27" s="363"/>
      <c r="AB27" s="361"/>
      <c r="AC27" s="361"/>
      <c r="AD27" s="360"/>
      <c r="AE27" s="360"/>
      <c r="AF27" s="360"/>
      <c r="AG27" s="362"/>
      <c r="AH27" s="364"/>
      <c r="AJ27" s="356"/>
      <c r="AK27" s="356"/>
      <c r="AL27" s="356"/>
      <c r="AM27" s="356"/>
      <c r="AN27" s="356"/>
      <c r="AO27" s="357"/>
    </row>
    <row r="28" spans="1:41" x14ac:dyDescent="0.25">
      <c r="A28" s="538"/>
      <c r="B28" s="358"/>
      <c r="C28" s="359"/>
      <c r="D28" s="359"/>
      <c r="E28" s="360"/>
      <c r="F28" s="424"/>
      <c r="G28" s="424"/>
      <c r="H28" s="360"/>
      <c r="I28" s="360"/>
      <c r="J28" s="360"/>
      <c r="K28" s="360"/>
      <c r="L28" s="424"/>
      <c r="M28" s="424"/>
      <c r="N28" s="424"/>
      <c r="O28" s="424"/>
      <c r="P28" s="362"/>
      <c r="Q28" s="538"/>
      <c r="R28" s="358"/>
      <c r="S28" s="360"/>
      <c r="T28" s="424"/>
      <c r="U28" s="424"/>
      <c r="V28" s="424"/>
      <c r="W28" s="424"/>
      <c r="X28" s="360"/>
      <c r="Y28" s="360"/>
      <c r="Z28" s="360"/>
      <c r="AA28" s="363"/>
      <c r="AB28" s="361"/>
      <c r="AC28" s="361"/>
      <c r="AD28" s="360"/>
      <c r="AE28" s="360"/>
      <c r="AF28" s="360"/>
      <c r="AG28" s="362"/>
      <c r="AH28" s="364"/>
      <c r="AJ28" s="356"/>
      <c r="AK28" s="356"/>
      <c r="AL28" s="356"/>
      <c r="AM28" s="356"/>
      <c r="AN28" s="356"/>
      <c r="AO28" s="357"/>
    </row>
    <row r="29" spans="1:41" ht="14.4" thickBot="1" x14ac:dyDescent="0.3">
      <c r="A29" s="537">
        <v>14</v>
      </c>
      <c r="B29" s="365"/>
      <c r="C29" s="366"/>
      <c r="D29" s="366"/>
      <c r="E29" s="367"/>
      <c r="F29" s="426"/>
      <c r="G29" s="426"/>
      <c r="H29" s="367"/>
      <c r="I29" s="367"/>
      <c r="J29" s="367"/>
      <c r="K29" s="367"/>
      <c r="L29" s="426"/>
      <c r="M29" s="426"/>
      <c r="N29" s="426"/>
      <c r="O29" s="426"/>
      <c r="P29" s="369"/>
      <c r="Q29" s="537">
        <v>14</v>
      </c>
      <c r="R29" s="365"/>
      <c r="S29" s="367"/>
      <c r="T29" s="426"/>
      <c r="U29" s="426"/>
      <c r="V29" s="426"/>
      <c r="W29" s="426"/>
      <c r="X29" s="367"/>
      <c r="Y29" s="367"/>
      <c r="Z29" s="367"/>
      <c r="AA29" s="370"/>
      <c r="AB29" s="368"/>
      <c r="AC29" s="368"/>
      <c r="AD29" s="367"/>
      <c r="AE29" s="367"/>
      <c r="AF29" s="367"/>
      <c r="AG29" s="369"/>
      <c r="AH29" s="364"/>
      <c r="AJ29" s="356"/>
      <c r="AK29" s="356"/>
      <c r="AL29" s="356"/>
      <c r="AM29" s="356"/>
      <c r="AN29" s="356"/>
      <c r="AO29" s="357"/>
    </row>
    <row r="30" spans="1:41" x14ac:dyDescent="0.25">
      <c r="A30" s="538"/>
      <c r="B30" s="371"/>
      <c r="C30" s="372"/>
      <c r="D30" s="372"/>
      <c r="E30" s="373"/>
      <c r="F30" s="374"/>
      <c r="G30" s="374"/>
      <c r="H30" s="373"/>
      <c r="I30" s="373"/>
      <c r="J30" s="373"/>
      <c r="K30" s="373"/>
      <c r="L30" s="373"/>
      <c r="M30" s="374"/>
      <c r="N30" s="374"/>
      <c r="O30" s="373"/>
      <c r="P30" s="375"/>
      <c r="Q30" s="538"/>
      <c r="R30" s="376"/>
      <c r="S30" s="373"/>
      <c r="T30" s="373"/>
      <c r="U30" s="374"/>
      <c r="V30" s="374"/>
      <c r="W30" s="373"/>
      <c r="X30" s="373"/>
      <c r="Y30" s="373"/>
      <c r="Z30" s="373"/>
      <c r="AA30" s="373"/>
      <c r="AB30" s="374"/>
      <c r="AC30" s="374"/>
      <c r="AD30" s="373"/>
      <c r="AE30" s="373"/>
      <c r="AF30" s="373"/>
      <c r="AG30" s="375"/>
      <c r="AH30" s="377">
        <v>14</v>
      </c>
      <c r="AJ30" s="356"/>
      <c r="AK30" s="356"/>
      <c r="AL30" s="356"/>
      <c r="AM30" s="356"/>
      <c r="AN30" s="356"/>
      <c r="AO30" s="357"/>
    </row>
    <row r="31" spans="1:41" x14ac:dyDescent="0.25">
      <c r="A31" s="537">
        <v>14.3</v>
      </c>
      <c r="B31" s="378"/>
      <c r="C31" s="379"/>
      <c r="D31" s="379"/>
      <c r="E31" s="380"/>
      <c r="F31" s="361"/>
      <c r="G31" s="361"/>
      <c r="H31" s="380"/>
      <c r="I31" s="380"/>
      <c r="J31" s="380"/>
      <c r="K31" s="380"/>
      <c r="L31" s="380"/>
      <c r="M31" s="361"/>
      <c r="N31" s="361"/>
      <c r="O31" s="380"/>
      <c r="P31" s="381"/>
      <c r="Q31" s="537">
        <v>14.3</v>
      </c>
      <c r="R31" s="397"/>
      <c r="S31" s="398"/>
      <c r="T31" s="398"/>
      <c r="U31" s="351"/>
      <c r="V31" s="351"/>
      <c r="W31" s="380"/>
      <c r="X31" s="380"/>
      <c r="Y31" s="380"/>
      <c r="Z31" s="380"/>
      <c r="AA31" s="380"/>
      <c r="AB31" s="361"/>
      <c r="AC31" s="361"/>
      <c r="AD31" s="380"/>
      <c r="AE31" s="380"/>
      <c r="AF31" s="380"/>
      <c r="AG31" s="381"/>
      <c r="AH31" s="547" t="s">
        <v>353</v>
      </c>
      <c r="AJ31" s="356"/>
      <c r="AK31" s="356"/>
      <c r="AL31" s="356"/>
      <c r="AM31" s="356"/>
      <c r="AN31" s="356"/>
      <c r="AO31" s="357"/>
    </row>
    <row r="32" spans="1:41" x14ac:dyDescent="0.25">
      <c r="A32" s="538"/>
      <c r="B32" s="378"/>
      <c r="C32" s="379"/>
      <c r="D32" s="379"/>
      <c r="E32" s="380"/>
      <c r="F32" s="361"/>
      <c r="G32" s="361"/>
      <c r="H32" s="380"/>
      <c r="I32" s="380"/>
      <c r="J32" s="380"/>
      <c r="K32" s="380"/>
      <c r="L32" s="380"/>
      <c r="M32" s="361"/>
      <c r="N32" s="361"/>
      <c r="O32" s="380"/>
      <c r="P32" s="381"/>
      <c r="Q32" s="538"/>
      <c r="R32" s="382"/>
      <c r="S32" s="380"/>
      <c r="T32" s="380"/>
      <c r="U32" s="361"/>
      <c r="V32" s="361"/>
      <c r="W32" s="380"/>
      <c r="X32" s="380"/>
      <c r="Y32" s="380"/>
      <c r="Z32" s="380"/>
      <c r="AA32" s="380"/>
      <c r="AB32" s="361"/>
      <c r="AC32" s="361"/>
      <c r="AD32" s="380"/>
      <c r="AE32" s="380"/>
      <c r="AF32" s="380"/>
      <c r="AG32" s="381"/>
      <c r="AH32" s="547"/>
      <c r="AJ32" s="356"/>
      <c r="AK32" s="356"/>
      <c r="AL32" s="356"/>
      <c r="AM32" s="356"/>
      <c r="AN32" s="356"/>
      <c r="AO32" s="357"/>
    </row>
    <row r="33" spans="1:41" x14ac:dyDescent="0.25">
      <c r="A33" s="537">
        <v>15</v>
      </c>
      <c r="B33" s="378"/>
      <c r="C33" s="379"/>
      <c r="D33" s="379"/>
      <c r="E33" s="380"/>
      <c r="F33" s="361"/>
      <c r="G33" s="361"/>
      <c r="H33" s="380"/>
      <c r="I33" s="380"/>
      <c r="J33" s="380"/>
      <c r="K33" s="380"/>
      <c r="L33" s="380"/>
      <c r="M33" s="361"/>
      <c r="N33" s="361"/>
      <c r="O33" s="380"/>
      <c r="P33" s="381"/>
      <c r="Q33" s="537">
        <v>15</v>
      </c>
      <c r="R33" s="382"/>
      <c r="S33" s="380"/>
      <c r="T33" s="380"/>
      <c r="U33" s="361"/>
      <c r="V33" s="361"/>
      <c r="W33" s="380"/>
      <c r="X33" s="380"/>
      <c r="Y33" s="380"/>
      <c r="Z33" s="380"/>
      <c r="AA33" s="380"/>
      <c r="AB33" s="361"/>
      <c r="AC33" s="361"/>
      <c r="AD33" s="380"/>
      <c r="AE33" s="380"/>
      <c r="AF33" s="380"/>
      <c r="AG33" s="381"/>
      <c r="AH33" s="547"/>
      <c r="AJ33" s="356"/>
      <c r="AK33" s="356"/>
      <c r="AL33" s="356"/>
      <c r="AM33" s="356"/>
      <c r="AN33" s="356"/>
      <c r="AO33" s="357"/>
    </row>
    <row r="34" spans="1:41" x14ac:dyDescent="0.25">
      <c r="A34" s="538"/>
      <c r="B34" s="378"/>
      <c r="C34" s="379"/>
      <c r="D34" s="379"/>
      <c r="E34" s="380"/>
      <c r="F34" s="361"/>
      <c r="G34" s="361"/>
      <c r="H34" s="380"/>
      <c r="I34" s="380"/>
      <c r="J34" s="380"/>
      <c r="K34" s="380"/>
      <c r="L34" s="380"/>
      <c r="M34" s="361"/>
      <c r="N34" s="361"/>
      <c r="O34" s="380"/>
      <c r="P34" s="381"/>
      <c r="Q34" s="538"/>
      <c r="R34" s="382"/>
      <c r="S34" s="380"/>
      <c r="T34" s="380"/>
      <c r="U34" s="361"/>
      <c r="V34" s="361"/>
      <c r="W34" s="380"/>
      <c r="X34" s="380"/>
      <c r="Y34" s="380"/>
      <c r="Z34" s="380"/>
      <c r="AA34" s="380"/>
      <c r="AB34" s="361"/>
      <c r="AC34" s="361"/>
      <c r="AD34" s="380"/>
      <c r="AE34" s="380"/>
      <c r="AF34" s="380"/>
      <c r="AG34" s="381"/>
      <c r="AH34" s="547"/>
      <c r="AJ34" s="356"/>
      <c r="AK34" s="356"/>
      <c r="AL34" s="356"/>
      <c r="AM34" s="356"/>
      <c r="AN34" s="356"/>
      <c r="AO34" s="357"/>
    </row>
    <row r="35" spans="1:41" x14ac:dyDescent="0.25">
      <c r="A35" s="537">
        <v>15.3</v>
      </c>
      <c r="B35" s="378"/>
      <c r="C35" s="379"/>
      <c r="D35" s="379"/>
      <c r="E35" s="380"/>
      <c r="F35" s="361"/>
      <c r="G35" s="361"/>
      <c r="H35" s="380"/>
      <c r="I35" s="380"/>
      <c r="J35" s="380"/>
      <c r="K35" s="380"/>
      <c r="L35" s="380"/>
      <c r="M35" s="361"/>
      <c r="N35" s="361"/>
      <c r="O35" s="380"/>
      <c r="P35" s="381"/>
      <c r="Q35" s="537">
        <v>15.3</v>
      </c>
      <c r="R35" s="382"/>
      <c r="S35" s="380"/>
      <c r="T35" s="380"/>
      <c r="U35" s="361"/>
      <c r="V35" s="361"/>
      <c r="W35" s="380"/>
      <c r="X35" s="380"/>
      <c r="Y35" s="380"/>
      <c r="Z35" s="380"/>
      <c r="AA35" s="380"/>
      <c r="AB35" s="361"/>
      <c r="AC35" s="361"/>
      <c r="AD35" s="380"/>
      <c r="AE35" s="380"/>
      <c r="AF35" s="380"/>
      <c r="AG35" s="381"/>
      <c r="AH35" s="547"/>
      <c r="AJ35" s="356"/>
      <c r="AK35" s="356"/>
      <c r="AL35" s="356"/>
      <c r="AM35" s="356"/>
      <c r="AN35" s="356"/>
      <c r="AO35" s="357"/>
    </row>
    <row r="36" spans="1:41" x14ac:dyDescent="0.25">
      <c r="A36" s="538"/>
      <c r="B36" s="378"/>
      <c r="C36" s="379"/>
      <c r="D36" s="379"/>
      <c r="E36" s="380"/>
      <c r="F36" s="361"/>
      <c r="G36" s="361"/>
      <c r="H36" s="380"/>
      <c r="I36" s="380"/>
      <c r="J36" s="380"/>
      <c r="K36" s="380"/>
      <c r="L36" s="380"/>
      <c r="M36" s="361"/>
      <c r="N36" s="361"/>
      <c r="O36" s="380"/>
      <c r="P36" s="381"/>
      <c r="Q36" s="538"/>
      <c r="R36" s="382"/>
      <c r="S36" s="380"/>
      <c r="T36" s="380"/>
      <c r="U36" s="361"/>
      <c r="V36" s="361"/>
      <c r="W36" s="380"/>
      <c r="X36" s="380"/>
      <c r="Y36" s="380"/>
      <c r="Z36" s="380"/>
      <c r="AA36" s="380"/>
      <c r="AB36" s="361"/>
      <c r="AC36" s="361"/>
      <c r="AD36" s="380"/>
      <c r="AE36" s="380"/>
      <c r="AF36" s="380"/>
      <c r="AG36" s="381"/>
      <c r="AH36" s="547"/>
      <c r="AJ36" s="356"/>
      <c r="AK36" s="356"/>
      <c r="AL36" s="356"/>
      <c r="AM36" s="356"/>
      <c r="AN36" s="356"/>
      <c r="AO36" s="357"/>
    </row>
    <row r="37" spans="1:41" x14ac:dyDescent="0.25">
      <c r="A37" s="537">
        <v>16</v>
      </c>
      <c r="B37" s="378"/>
      <c r="C37" s="379"/>
      <c r="D37" s="379"/>
      <c r="E37" s="380"/>
      <c r="F37" s="361"/>
      <c r="G37" s="361"/>
      <c r="H37" s="380"/>
      <c r="I37" s="380"/>
      <c r="J37" s="380"/>
      <c r="K37" s="380"/>
      <c r="L37" s="380"/>
      <c r="M37" s="361"/>
      <c r="N37" s="361"/>
      <c r="O37" s="380"/>
      <c r="P37" s="381"/>
      <c r="Q37" s="537">
        <v>16</v>
      </c>
      <c r="R37" s="382"/>
      <c r="S37" s="380"/>
      <c r="T37" s="380"/>
      <c r="U37" s="361"/>
      <c r="V37" s="361"/>
      <c r="W37" s="380"/>
      <c r="X37" s="380"/>
      <c r="Y37" s="380"/>
      <c r="Z37" s="380"/>
      <c r="AA37" s="380"/>
      <c r="AB37" s="361"/>
      <c r="AC37" s="361"/>
      <c r="AD37" s="380"/>
      <c r="AE37" s="380"/>
      <c r="AF37" s="380"/>
      <c r="AG37" s="381"/>
      <c r="AH37" s="547"/>
      <c r="AJ37" s="356"/>
      <c r="AK37" s="356"/>
      <c r="AL37" s="356"/>
      <c r="AM37" s="356"/>
      <c r="AN37" s="356"/>
      <c r="AO37" s="357"/>
    </row>
    <row r="38" spans="1:41" x14ac:dyDescent="0.25">
      <c r="A38" s="538"/>
      <c r="B38" s="378"/>
      <c r="C38" s="379"/>
      <c r="D38" s="379"/>
      <c r="E38" s="380"/>
      <c r="F38" s="361"/>
      <c r="G38" s="361"/>
      <c r="H38" s="380"/>
      <c r="I38" s="380"/>
      <c r="J38" s="380"/>
      <c r="K38" s="380"/>
      <c r="L38" s="380"/>
      <c r="M38" s="361"/>
      <c r="N38" s="361"/>
      <c r="O38" s="380"/>
      <c r="P38" s="381"/>
      <c r="Q38" s="538"/>
      <c r="R38" s="399"/>
      <c r="S38" s="400"/>
      <c r="T38" s="400"/>
      <c r="U38" s="368"/>
      <c r="V38" s="368"/>
      <c r="W38" s="380"/>
      <c r="X38" s="380"/>
      <c r="Y38" s="380"/>
      <c r="Z38" s="380"/>
      <c r="AA38" s="380"/>
      <c r="AB38" s="361"/>
      <c r="AC38" s="361"/>
      <c r="AD38" s="380"/>
      <c r="AE38" s="380"/>
      <c r="AF38" s="380"/>
      <c r="AG38" s="381"/>
      <c r="AH38" s="547"/>
      <c r="AJ38" s="356"/>
      <c r="AK38" s="356"/>
      <c r="AL38" s="356"/>
      <c r="AM38" s="356"/>
      <c r="AN38" s="356"/>
      <c r="AO38" s="357"/>
    </row>
    <row r="39" spans="1:41" ht="14.4" thickBot="1" x14ac:dyDescent="0.3">
      <c r="A39" s="537">
        <v>16.3</v>
      </c>
      <c r="B39" s="383"/>
      <c r="C39" s="384"/>
      <c r="D39" s="384"/>
      <c r="E39" s="385"/>
      <c r="F39" s="386"/>
      <c r="G39" s="386"/>
      <c r="H39" s="385"/>
      <c r="I39" s="385"/>
      <c r="J39" s="385"/>
      <c r="K39" s="385"/>
      <c r="L39" s="385"/>
      <c r="M39" s="386"/>
      <c r="N39" s="386"/>
      <c r="O39" s="385"/>
      <c r="P39" s="387"/>
      <c r="Q39" s="537">
        <v>16.3</v>
      </c>
      <c r="R39" s="388"/>
      <c r="S39" s="385"/>
      <c r="T39" s="385"/>
      <c r="U39" s="386"/>
      <c r="V39" s="386"/>
      <c r="W39" s="385"/>
      <c r="X39" s="385"/>
      <c r="Y39" s="385"/>
      <c r="Z39" s="385"/>
      <c r="AA39" s="385"/>
      <c r="AB39" s="386"/>
      <c r="AC39" s="386"/>
      <c r="AD39" s="385"/>
      <c r="AE39" s="385"/>
      <c r="AF39" s="385"/>
      <c r="AG39" s="387"/>
      <c r="AH39" s="389">
        <v>16.3</v>
      </c>
      <c r="AJ39" s="356"/>
      <c r="AK39" s="356"/>
      <c r="AL39" s="356"/>
      <c r="AM39" s="356"/>
      <c r="AN39" s="356"/>
      <c r="AO39" s="357"/>
    </row>
    <row r="40" spans="1:41" x14ac:dyDescent="0.25">
      <c r="A40" s="537"/>
      <c r="B40" s="348"/>
      <c r="C40" s="349"/>
      <c r="D40" s="349"/>
      <c r="E40" s="350"/>
      <c r="F40" s="423"/>
      <c r="G40" s="423"/>
      <c r="H40" s="350"/>
      <c r="I40" s="350"/>
      <c r="J40" s="350"/>
      <c r="K40" s="350"/>
      <c r="L40" s="423"/>
      <c r="M40" s="423"/>
      <c r="N40" s="423"/>
      <c r="O40" s="423"/>
      <c r="P40" s="431"/>
      <c r="Q40" s="537"/>
      <c r="R40" s="348"/>
      <c r="S40" s="350"/>
      <c r="T40" s="423"/>
      <c r="U40" s="423"/>
      <c r="V40" s="423"/>
      <c r="W40" s="423"/>
      <c r="X40" s="350"/>
      <c r="Y40" s="350"/>
      <c r="Z40" s="350"/>
      <c r="AA40" s="353"/>
      <c r="AB40" s="351"/>
      <c r="AC40" s="351"/>
      <c r="AD40" s="350"/>
      <c r="AE40" s="350"/>
      <c r="AF40" s="350"/>
      <c r="AG40" s="352"/>
      <c r="AH40" s="364"/>
      <c r="AJ40" s="356"/>
      <c r="AK40" s="356"/>
      <c r="AL40" s="356"/>
      <c r="AM40" s="356"/>
      <c r="AN40" s="356"/>
      <c r="AO40" s="357"/>
    </row>
    <row r="41" spans="1:41" x14ac:dyDescent="0.25">
      <c r="A41" s="537">
        <v>17</v>
      </c>
      <c r="B41" s="358"/>
      <c r="C41" s="359"/>
      <c r="D41" s="359"/>
      <c r="E41" s="360"/>
      <c r="F41" s="424"/>
      <c r="G41" s="424"/>
      <c r="H41" s="360"/>
      <c r="I41" s="360"/>
      <c r="J41" s="360"/>
      <c r="K41" s="360"/>
      <c r="L41" s="424"/>
      <c r="M41" s="424"/>
      <c r="N41" s="424"/>
      <c r="O41" s="424"/>
      <c r="P41" s="432"/>
      <c r="Q41" s="537">
        <v>17</v>
      </c>
      <c r="R41" s="358"/>
      <c r="S41" s="360"/>
      <c r="T41" s="424"/>
      <c r="U41" s="424"/>
      <c r="V41" s="424"/>
      <c r="W41" s="424"/>
      <c r="X41" s="360"/>
      <c r="Y41" s="360"/>
      <c r="Z41" s="360"/>
      <c r="AA41" s="363"/>
      <c r="AB41" s="361"/>
      <c r="AC41" s="361"/>
      <c r="AD41" s="360"/>
      <c r="AE41" s="360"/>
      <c r="AF41" s="360"/>
      <c r="AG41" s="362"/>
      <c r="AH41" s="364"/>
      <c r="AJ41" s="356"/>
      <c r="AK41" s="356"/>
      <c r="AL41" s="356"/>
      <c r="AM41" s="356"/>
      <c r="AN41" s="356"/>
      <c r="AO41" s="357"/>
    </row>
    <row r="42" spans="1:41" x14ac:dyDescent="0.25">
      <c r="A42" s="538"/>
      <c r="B42" s="358"/>
      <c r="C42" s="359"/>
      <c r="D42" s="359"/>
      <c r="E42" s="360"/>
      <c r="F42" s="424"/>
      <c r="G42" s="424"/>
      <c r="H42" s="360"/>
      <c r="I42" s="360"/>
      <c r="J42" s="360"/>
      <c r="K42" s="360"/>
      <c r="L42" s="424"/>
      <c r="M42" s="424"/>
      <c r="N42" s="424"/>
      <c r="O42" s="424"/>
      <c r="P42" s="432"/>
      <c r="Q42" s="538"/>
      <c r="R42" s="358"/>
      <c r="S42" s="360"/>
      <c r="T42" s="424"/>
      <c r="U42" s="424"/>
      <c r="V42" s="424"/>
      <c r="W42" s="424"/>
      <c r="X42" s="360"/>
      <c r="Y42" s="360"/>
      <c r="Z42" s="360"/>
      <c r="AA42" s="363"/>
      <c r="AB42" s="361"/>
      <c r="AC42" s="361"/>
      <c r="AD42" s="360"/>
      <c r="AE42" s="360"/>
      <c r="AF42" s="360"/>
      <c r="AG42" s="362"/>
      <c r="AH42" s="364"/>
      <c r="AJ42" s="356"/>
      <c r="AK42" s="356"/>
      <c r="AL42" s="356"/>
      <c r="AM42" s="356"/>
      <c r="AN42" s="356"/>
      <c r="AO42" s="357"/>
    </row>
    <row r="43" spans="1:41" x14ac:dyDescent="0.25">
      <c r="A43" s="537">
        <v>17.3</v>
      </c>
      <c r="B43" s="358"/>
      <c r="C43" s="359"/>
      <c r="D43" s="359"/>
      <c r="E43" s="360"/>
      <c r="F43" s="424"/>
      <c r="G43" s="424"/>
      <c r="H43" s="360"/>
      <c r="I43" s="360"/>
      <c r="J43" s="360"/>
      <c r="K43" s="360"/>
      <c r="L43" s="424"/>
      <c r="M43" s="424"/>
      <c r="N43" s="424"/>
      <c r="O43" s="424"/>
      <c r="P43" s="432"/>
      <c r="Q43" s="537">
        <v>17.3</v>
      </c>
      <c r="R43" s="358"/>
      <c r="S43" s="360"/>
      <c r="T43" s="424"/>
      <c r="U43" s="424"/>
      <c r="V43" s="424"/>
      <c r="W43" s="424"/>
      <c r="X43" s="360"/>
      <c r="Y43" s="360"/>
      <c r="Z43" s="360"/>
      <c r="AA43" s="363"/>
      <c r="AB43" s="361"/>
      <c r="AC43" s="361"/>
      <c r="AD43" s="360"/>
      <c r="AE43" s="360"/>
      <c r="AF43" s="360"/>
      <c r="AG43" s="362"/>
      <c r="AH43" s="364"/>
      <c r="AJ43" s="356"/>
      <c r="AK43" s="356"/>
      <c r="AL43" s="356"/>
      <c r="AM43" s="356"/>
      <c r="AN43" s="356"/>
      <c r="AO43" s="357"/>
    </row>
    <row r="44" spans="1:41" x14ac:dyDescent="0.25">
      <c r="A44" s="538"/>
      <c r="B44" s="358"/>
      <c r="C44" s="359"/>
      <c r="D44" s="359"/>
      <c r="E44" s="360"/>
      <c r="F44" s="424"/>
      <c r="G44" s="424"/>
      <c r="H44" s="360"/>
      <c r="I44" s="360"/>
      <c r="J44" s="360"/>
      <c r="K44" s="360"/>
      <c r="L44" s="424"/>
      <c r="M44" s="424"/>
      <c r="N44" s="424"/>
      <c r="O44" s="424"/>
      <c r="P44" s="432"/>
      <c r="Q44" s="538"/>
      <c r="R44" s="358"/>
      <c r="S44" s="360"/>
      <c r="T44" s="424"/>
      <c r="U44" s="424"/>
      <c r="V44" s="424"/>
      <c r="W44" s="424"/>
      <c r="X44" s="360"/>
      <c r="Y44" s="360"/>
      <c r="Z44" s="360"/>
      <c r="AA44" s="363"/>
      <c r="AB44" s="361"/>
      <c r="AC44" s="361"/>
      <c r="AD44" s="360"/>
      <c r="AE44" s="360"/>
      <c r="AF44" s="360"/>
      <c r="AG44" s="362"/>
      <c r="AH44" s="364"/>
      <c r="AJ44" s="356"/>
      <c r="AK44" s="356"/>
      <c r="AL44" s="356"/>
      <c r="AM44" s="356"/>
      <c r="AN44" s="356"/>
      <c r="AO44" s="357"/>
    </row>
    <row r="45" spans="1:41" x14ac:dyDescent="0.25">
      <c r="A45" s="537">
        <v>18</v>
      </c>
      <c r="B45" s="358"/>
      <c r="C45" s="359"/>
      <c r="D45" s="359"/>
      <c r="E45" s="360"/>
      <c r="F45" s="424"/>
      <c r="G45" s="424"/>
      <c r="H45" s="360"/>
      <c r="I45" s="360"/>
      <c r="J45" s="360"/>
      <c r="K45" s="360"/>
      <c r="L45" s="424"/>
      <c r="M45" s="424"/>
      <c r="N45" s="424"/>
      <c r="O45" s="424"/>
      <c r="P45" s="432"/>
      <c r="Q45" s="537">
        <v>18</v>
      </c>
      <c r="R45" s="358"/>
      <c r="S45" s="360"/>
      <c r="T45" s="424"/>
      <c r="U45" s="424"/>
      <c r="V45" s="424"/>
      <c r="W45" s="424"/>
      <c r="X45" s="360"/>
      <c r="Y45" s="360"/>
      <c r="Z45" s="360"/>
      <c r="AA45" s="363"/>
      <c r="AB45" s="361"/>
      <c r="AC45" s="361"/>
      <c r="AD45" s="360"/>
      <c r="AE45" s="360"/>
      <c r="AF45" s="360"/>
      <c r="AG45" s="362"/>
      <c r="AH45" s="364"/>
      <c r="AJ45" s="356"/>
      <c r="AK45" s="356"/>
      <c r="AL45" s="356"/>
      <c r="AM45" s="356"/>
      <c r="AN45" s="356"/>
      <c r="AO45" s="357"/>
    </row>
    <row r="46" spans="1:41" x14ac:dyDescent="0.25">
      <c r="A46" s="538"/>
      <c r="B46" s="358"/>
      <c r="C46" s="359"/>
      <c r="D46" s="359"/>
      <c r="E46" s="360"/>
      <c r="F46" s="424"/>
      <c r="G46" s="424"/>
      <c r="H46" s="360"/>
      <c r="I46" s="360"/>
      <c r="J46" s="360"/>
      <c r="K46" s="360"/>
      <c r="L46" s="424"/>
      <c r="M46" s="424"/>
      <c r="N46" s="424"/>
      <c r="O46" s="424"/>
      <c r="P46" s="432"/>
      <c r="Q46" s="538"/>
      <c r="R46" s="358"/>
      <c r="S46" s="360"/>
      <c r="T46" s="424"/>
      <c r="U46" s="424"/>
      <c r="V46" s="424"/>
      <c r="W46" s="424"/>
      <c r="X46" s="360"/>
      <c r="Y46" s="360"/>
      <c r="Z46" s="360"/>
      <c r="AA46" s="363"/>
      <c r="AB46" s="361"/>
      <c r="AC46" s="361"/>
      <c r="AD46" s="360"/>
      <c r="AE46" s="360"/>
      <c r="AF46" s="360"/>
      <c r="AG46" s="362"/>
      <c r="AH46" s="364"/>
      <c r="AJ46" s="356"/>
      <c r="AK46" s="356"/>
      <c r="AL46" s="356"/>
      <c r="AM46" s="356"/>
      <c r="AN46" s="356"/>
      <c r="AO46" s="357"/>
    </row>
    <row r="47" spans="1:41" ht="14.4" thickBot="1" x14ac:dyDescent="0.3">
      <c r="A47" s="401">
        <v>18.3</v>
      </c>
      <c r="B47" s="402"/>
      <c r="C47" s="403"/>
      <c r="D47" s="403"/>
      <c r="E47" s="404"/>
      <c r="F47" s="425"/>
      <c r="G47" s="425"/>
      <c r="H47" s="404"/>
      <c r="I47" s="404"/>
      <c r="J47" s="404"/>
      <c r="K47" s="404"/>
      <c r="L47" s="425"/>
      <c r="M47" s="425"/>
      <c r="N47" s="425"/>
      <c r="O47" s="425"/>
      <c r="P47" s="433"/>
      <c r="Q47" s="406">
        <v>18.3</v>
      </c>
      <c r="R47" s="402"/>
      <c r="S47" s="404"/>
      <c r="T47" s="425"/>
      <c r="U47" s="425"/>
      <c r="V47" s="425"/>
      <c r="W47" s="425"/>
      <c r="X47" s="404"/>
      <c r="Y47" s="404"/>
      <c r="Z47" s="404"/>
      <c r="AA47" s="407"/>
      <c r="AB47" s="386"/>
      <c r="AC47" s="386"/>
      <c r="AD47" s="404"/>
      <c r="AE47" s="404"/>
      <c r="AF47" s="404"/>
      <c r="AG47" s="405"/>
      <c r="AH47" s="408"/>
      <c r="AJ47" s="539"/>
      <c r="AK47" s="539"/>
      <c r="AL47" s="539"/>
      <c r="AM47" s="539"/>
      <c r="AN47" s="539"/>
      <c r="AO47" s="540"/>
    </row>
    <row r="48" spans="1:41" x14ac:dyDescent="0.25">
      <c r="A48" s="409"/>
      <c r="Q48" s="410"/>
      <c r="AH48" s="411"/>
      <c r="AJ48" s="539"/>
      <c r="AK48" s="539"/>
      <c r="AL48" s="539"/>
      <c r="AM48" s="539"/>
      <c r="AN48" s="539"/>
      <c r="AO48" s="540"/>
    </row>
    <row r="49" spans="1:41" x14ac:dyDescent="0.25">
      <c r="A49" s="409"/>
      <c r="Q49" s="410"/>
      <c r="AH49" s="412"/>
      <c r="AJ49" s="539"/>
      <c r="AK49" s="539"/>
      <c r="AL49" s="539"/>
      <c r="AM49" s="539"/>
      <c r="AN49" s="539"/>
      <c r="AO49" s="540"/>
    </row>
    <row r="50" spans="1:41" x14ac:dyDescent="0.25">
      <c r="A50" s="409"/>
      <c r="Q50" s="410"/>
      <c r="AH50" s="412"/>
      <c r="AJ50" s="539"/>
      <c r="AK50" s="539"/>
      <c r="AL50" s="539"/>
      <c r="AM50" s="539"/>
      <c r="AN50" s="539"/>
      <c r="AO50" s="540"/>
    </row>
    <row r="51" spans="1:41" x14ac:dyDescent="0.25">
      <c r="A51" s="409"/>
      <c r="Q51" s="410"/>
      <c r="AI51" s="413"/>
      <c r="AJ51" s="539"/>
      <c r="AK51" s="539"/>
      <c r="AL51" s="539"/>
      <c r="AM51" s="539"/>
      <c r="AN51" s="539"/>
      <c r="AO51" s="540"/>
    </row>
    <row r="52" spans="1:41" x14ac:dyDescent="0.25">
      <c r="A52" s="409"/>
      <c r="Q52" s="410"/>
      <c r="AH52" s="412"/>
      <c r="AI52" s="413"/>
      <c r="AJ52" s="539"/>
      <c r="AK52" s="539"/>
      <c r="AL52" s="539"/>
      <c r="AM52" s="539"/>
      <c r="AN52" s="539"/>
      <c r="AO52" s="540"/>
    </row>
    <row r="53" spans="1:41" ht="14.4" thickBot="1" x14ac:dyDescent="0.3">
      <c r="A53" s="409"/>
      <c r="Q53" s="410"/>
      <c r="AH53" s="412"/>
      <c r="AI53" s="413"/>
      <c r="AJ53" s="539"/>
      <c r="AK53" s="539"/>
      <c r="AL53" s="539"/>
      <c r="AM53" s="539"/>
      <c r="AN53" s="539"/>
      <c r="AO53" s="540"/>
    </row>
    <row r="54" spans="1:41" x14ac:dyDescent="0.25">
      <c r="A54" s="414"/>
      <c r="B54" s="415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7"/>
      <c r="Q54" s="414"/>
      <c r="R54" s="415"/>
      <c r="S54" s="416"/>
      <c r="T54" s="416"/>
      <c r="U54" s="416"/>
      <c r="V54" s="416"/>
      <c r="W54" s="416"/>
      <c r="X54" s="416"/>
      <c r="Y54" s="416"/>
      <c r="Z54" s="416"/>
      <c r="AA54" s="416"/>
      <c r="AB54" s="416"/>
      <c r="AC54" s="416"/>
      <c r="AD54" s="416"/>
      <c r="AE54" s="416"/>
      <c r="AF54" s="416"/>
      <c r="AG54" s="417"/>
      <c r="AH54" s="543" t="s">
        <v>372</v>
      </c>
      <c r="AI54" s="544"/>
      <c r="AJ54" s="539"/>
      <c r="AK54" s="539"/>
      <c r="AL54" s="539"/>
      <c r="AM54" s="539"/>
      <c r="AN54" s="539"/>
      <c r="AO54" s="540"/>
    </row>
    <row r="55" spans="1:41" ht="14.4" thickBot="1" x14ac:dyDescent="0.3">
      <c r="A55" s="418"/>
      <c r="B55" s="419"/>
      <c r="C55" s="420"/>
      <c r="D55" s="420"/>
      <c r="E55" s="420"/>
      <c r="F55" s="420"/>
      <c r="G55" s="420"/>
      <c r="H55" s="421"/>
      <c r="I55" s="421"/>
      <c r="J55" s="420"/>
      <c r="K55" s="420"/>
      <c r="L55" s="420"/>
      <c r="M55" s="420"/>
      <c r="N55" s="420"/>
      <c r="O55" s="421"/>
      <c r="P55" s="422"/>
      <c r="Q55" s="418"/>
      <c r="R55" s="420"/>
      <c r="S55" s="420"/>
      <c r="T55" s="420"/>
      <c r="U55" s="420"/>
      <c r="V55" s="420"/>
      <c r="W55" s="421"/>
      <c r="X55" s="421"/>
      <c r="Y55" s="421"/>
      <c r="Z55" s="421"/>
      <c r="AA55" s="421"/>
      <c r="AB55" s="421"/>
      <c r="AC55" s="421"/>
      <c r="AD55" s="421"/>
      <c r="AE55" s="421"/>
      <c r="AF55" s="421"/>
      <c r="AG55" s="422"/>
      <c r="AH55" s="545" t="s">
        <v>373</v>
      </c>
      <c r="AI55" s="546"/>
      <c r="AJ55" s="541"/>
      <c r="AK55" s="541"/>
      <c r="AL55" s="541"/>
      <c r="AM55" s="541"/>
      <c r="AN55" s="541"/>
      <c r="AO55" s="542"/>
    </row>
  </sheetData>
  <mergeCells count="50">
    <mergeCell ref="A5:A6"/>
    <mergeCell ref="Q5:Q6"/>
    <mergeCell ref="A1:M1"/>
    <mergeCell ref="A2:I2"/>
    <mergeCell ref="R2:AD2"/>
    <mergeCell ref="AJ2:AM2"/>
    <mergeCell ref="AI3:AO3"/>
    <mergeCell ref="AH9:AH21"/>
    <mergeCell ref="A11:A12"/>
    <mergeCell ref="Q11:Q12"/>
    <mergeCell ref="A13:A14"/>
    <mergeCell ref="Q13:Q14"/>
    <mergeCell ref="A15:A16"/>
    <mergeCell ref="A21:A22"/>
    <mergeCell ref="Q21:Q22"/>
    <mergeCell ref="A7:A8"/>
    <mergeCell ref="Q7:Q8"/>
    <mergeCell ref="A9:A10"/>
    <mergeCell ref="Q9:Q10"/>
    <mergeCell ref="Q15:Q16"/>
    <mergeCell ref="A17:A18"/>
    <mergeCell ref="Q17:Q18"/>
    <mergeCell ref="A19:A20"/>
    <mergeCell ref="Q19:Q20"/>
    <mergeCell ref="A23:A26"/>
    <mergeCell ref="Q23:Q26"/>
    <mergeCell ref="A27:A28"/>
    <mergeCell ref="Q27:Q28"/>
    <mergeCell ref="A29:A30"/>
    <mergeCell ref="Q29:Q30"/>
    <mergeCell ref="A31:A32"/>
    <mergeCell ref="Q31:Q32"/>
    <mergeCell ref="AH31:AH38"/>
    <mergeCell ref="A33:A34"/>
    <mergeCell ref="Q33:Q34"/>
    <mergeCell ref="A35:A36"/>
    <mergeCell ref="Q35:Q36"/>
    <mergeCell ref="A37:A38"/>
    <mergeCell ref="Q37:Q38"/>
    <mergeCell ref="A39:A40"/>
    <mergeCell ref="Q39:Q40"/>
    <mergeCell ref="A41:A42"/>
    <mergeCell ref="Q41:Q42"/>
    <mergeCell ref="A43:A44"/>
    <mergeCell ref="Q43:Q44"/>
    <mergeCell ref="A45:A46"/>
    <mergeCell ref="Q45:Q46"/>
    <mergeCell ref="AJ47:AO55"/>
    <mergeCell ref="AH54:AI54"/>
    <mergeCell ref="AH55:AI55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19">
    <tabColor theme="5" tint="0.59999389629810485"/>
    <pageSetUpPr fitToPage="1"/>
  </sheetPr>
  <dimension ref="A1:AP1048576"/>
  <sheetViews>
    <sheetView showGridLines="0" showZeros="0" showRuler="0" topLeftCell="D6" zoomScale="115" zoomScaleNormal="115" zoomScaleSheetLayoutView="100" zoomScalePageLayoutView="70" workbookViewId="0">
      <selection activeCell="M9" sqref="M9"/>
    </sheetView>
  </sheetViews>
  <sheetFormatPr baseColWidth="10" defaultColWidth="11" defaultRowHeight="13.8" outlineLevelCol="1" x14ac:dyDescent="0.25"/>
  <cols>
    <col min="1" max="1" width="7.59765625" style="117" customWidth="1"/>
    <col min="2" max="2" width="2.5" style="117" customWidth="1"/>
    <col min="3" max="6" width="9.296875" style="117" customWidth="1"/>
    <col min="7" max="7" width="7.59765625" style="117" customWidth="1"/>
    <col min="8" max="9" width="9.296875" style="117" customWidth="1"/>
    <col min="10" max="10" width="7.59765625" style="117" customWidth="1"/>
    <col min="11" max="11" width="9.296875" style="117" hidden="1" customWidth="1" outlineLevel="1"/>
    <col min="12" max="12" width="9.296875" style="117" customWidth="1" collapsed="1"/>
    <col min="13" max="13" width="1.59765625" style="117" customWidth="1"/>
    <col min="14" max="14" width="7.5" style="117" customWidth="1"/>
    <col min="15" max="15" width="8.796875" style="117" customWidth="1"/>
    <col min="16" max="16" width="5.59765625" style="117" customWidth="1"/>
    <col min="17" max="17" width="8.796875" style="117" customWidth="1"/>
    <col min="18" max="18" width="5.59765625" style="117" customWidth="1"/>
    <col min="19" max="19" width="8.796875" style="117" customWidth="1"/>
    <col min="20" max="20" width="5.59765625" style="117" customWidth="1"/>
    <col min="21" max="21" width="8.796875" style="117" customWidth="1"/>
    <col min="22" max="22" width="5.59765625" style="117" customWidth="1"/>
    <col min="23" max="23" width="8.796875" style="117" customWidth="1"/>
    <col min="24" max="24" width="5.59765625" style="117" customWidth="1"/>
    <col min="25" max="25" width="2.5" style="117" customWidth="1"/>
    <col min="26" max="26" width="7.59765625" style="117" customWidth="1"/>
    <col min="27" max="28" width="0" style="117" hidden="1" customWidth="1" outlineLevel="1"/>
    <col min="29" max="29" width="13.296875" style="117" hidden="1" customWidth="1" outlineLevel="1"/>
    <col min="30" max="30" width="9.59765625" style="117" hidden="1" customWidth="1" outlineLevel="1"/>
    <col min="31" max="31" width="0" style="117" hidden="1" customWidth="1" outlineLevel="1"/>
    <col min="32" max="32" width="15.09765625" style="117" hidden="1" customWidth="1" outlineLevel="1"/>
    <col min="33" max="33" width="0" style="117" hidden="1" customWidth="1" outlineLevel="1"/>
    <col min="34" max="34" width="15.69921875" style="117" hidden="1" customWidth="1" outlineLevel="1"/>
    <col min="35" max="37" width="0" style="117" hidden="1" customWidth="1" outlineLevel="1"/>
    <col min="38" max="38" width="11.8984375" style="117" hidden="1" customWidth="1" outlineLevel="1"/>
    <col min="39" max="39" width="0" style="117" hidden="1" customWidth="1" outlineLevel="1"/>
    <col min="40" max="40" width="14.5" style="117" hidden="1" customWidth="1" outlineLevel="1"/>
    <col min="41" max="41" width="0" style="117" hidden="1" customWidth="1" outlineLevel="1"/>
    <col min="42" max="42" width="11" style="117" collapsed="1"/>
    <col min="43" max="16384" width="11" style="117"/>
  </cols>
  <sheetData>
    <row r="1" spans="1:41" ht="16.5" customHeight="1" thickBot="1" x14ac:dyDescent="0.3">
      <c r="C1" s="176" t="s">
        <v>220</v>
      </c>
      <c r="D1" s="175">
        <f ca="1">TODAY()</f>
        <v>44935</v>
      </c>
      <c r="E1" s="320">
        <f ca="1">NOW()</f>
        <v>44935.484644328702</v>
      </c>
      <c r="F1" s="324"/>
      <c r="H1" s="117">
        <v>0</v>
      </c>
    </row>
    <row r="2" spans="1:41" ht="16.350000000000001" customHeight="1" thickTop="1" thickBot="1" x14ac:dyDescent="0.35">
      <c r="B2" s="118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119"/>
    </row>
    <row r="3" spans="1:41" ht="16.350000000000001" customHeight="1" thickTop="1" thickBot="1" x14ac:dyDescent="0.3">
      <c r="B3" s="120"/>
      <c r="C3" s="524" t="s">
        <v>21</v>
      </c>
      <c r="D3" s="525"/>
      <c r="E3" s="525"/>
      <c r="F3" s="525"/>
      <c r="G3" s="525"/>
      <c r="H3" s="525"/>
      <c r="I3" s="525"/>
      <c r="J3" s="525"/>
      <c r="K3" s="525"/>
      <c r="L3" s="526"/>
      <c r="M3" s="204"/>
      <c r="N3" s="152" t="s">
        <v>205</v>
      </c>
      <c r="O3" s="153"/>
      <c r="P3" s="154"/>
      <c r="Q3" s="155"/>
      <c r="R3" s="155"/>
      <c r="S3" s="155"/>
      <c r="T3" s="155"/>
      <c r="U3" s="155"/>
      <c r="V3" s="155"/>
      <c r="W3" s="155"/>
      <c r="X3" s="156"/>
      <c r="Y3" s="121"/>
      <c r="AK3" s="117">
        <v>2021</v>
      </c>
      <c r="AN3" s="117">
        <v>2022</v>
      </c>
    </row>
    <row r="4" spans="1:41" ht="16.350000000000001" customHeight="1" thickTop="1" thickBot="1" x14ac:dyDescent="0.3">
      <c r="B4" s="120"/>
      <c r="C4" s="239" t="s">
        <v>214</v>
      </c>
      <c r="D4" s="246" t="s">
        <v>215</v>
      </c>
      <c r="E4" s="236" t="s">
        <v>210</v>
      </c>
      <c r="F4" s="235" t="s">
        <v>211</v>
      </c>
      <c r="G4" s="235" t="s">
        <v>206</v>
      </c>
      <c r="H4" s="235" t="s">
        <v>212</v>
      </c>
      <c r="I4" s="235" t="s">
        <v>213</v>
      </c>
      <c r="J4" s="235" t="s">
        <v>207</v>
      </c>
      <c r="K4" s="237" t="s">
        <v>209</v>
      </c>
      <c r="L4" s="238" t="s">
        <v>208</v>
      </c>
      <c r="M4" s="205"/>
      <c r="N4" s="248"/>
      <c r="O4" s="527" t="s">
        <v>252</v>
      </c>
      <c r="P4" s="528"/>
      <c r="Q4" s="528"/>
      <c r="R4" s="528"/>
      <c r="S4" s="528"/>
      <c r="T4" s="528"/>
      <c r="U4" s="528"/>
      <c r="V4" s="528"/>
      <c r="W4" s="528"/>
      <c r="X4" s="529"/>
      <c r="Y4" s="121"/>
      <c r="AC4" s="117" t="s">
        <v>259</v>
      </c>
      <c r="AD4" s="117" t="s">
        <v>258</v>
      </c>
      <c r="AF4" s="117" t="s">
        <v>260</v>
      </c>
      <c r="AH4" s="117" t="s">
        <v>240</v>
      </c>
      <c r="AK4" s="138"/>
      <c r="AN4" s="138"/>
    </row>
    <row r="5" spans="1:41" ht="16.350000000000001" customHeight="1" thickTop="1" thickBot="1" x14ac:dyDescent="0.35">
      <c r="B5" s="487">
        <f>_xlfn.ISOWEEKNUM(D5)</f>
        <v>1</v>
      </c>
      <c r="C5" s="229" t="s">
        <v>99</v>
      </c>
      <c r="D5" s="126">
        <v>36894</v>
      </c>
      <c r="E5" s="231"/>
      <c r="F5" s="231"/>
      <c r="G5" s="232">
        <f>(F5-E5)*24</f>
        <v>0</v>
      </c>
      <c r="H5" s="231"/>
      <c r="I5" s="231"/>
      <c r="J5" s="232">
        <f>(I5-H5)*24</f>
        <v>0</v>
      </c>
      <c r="K5" s="233">
        <v>8.5</v>
      </c>
      <c r="L5" s="234">
        <f t="shared" ref="L5:L37" si="0">(F5-E5+I5-H5)*24</f>
        <v>0</v>
      </c>
      <c r="M5" s="211"/>
      <c r="N5" s="249">
        <f t="shared" ref="N5:N34" si="1">IF(L5&gt;0,(L5-K5)+N4,+N4)</f>
        <v>0</v>
      </c>
      <c r="O5" s="267"/>
      <c r="P5" s="266"/>
      <c r="Q5" s="266"/>
      <c r="R5" s="266"/>
      <c r="S5" s="266"/>
      <c r="T5" s="266"/>
      <c r="U5" s="266"/>
      <c r="V5" s="215"/>
      <c r="W5" s="214"/>
      <c r="X5" s="216"/>
      <c r="Y5" s="121"/>
      <c r="AC5" s="260">
        <v>350</v>
      </c>
      <c r="AD5" s="260">
        <v>24</v>
      </c>
      <c r="AF5" s="260">
        <v>35</v>
      </c>
      <c r="AH5" s="259">
        <v>0.01</v>
      </c>
      <c r="AI5" s="117" t="s">
        <v>261</v>
      </c>
      <c r="AK5" s="138" t="s">
        <v>280</v>
      </c>
      <c r="AL5" s="263">
        <v>745</v>
      </c>
      <c r="AN5" s="138" t="s">
        <v>280</v>
      </c>
      <c r="AO5" s="263">
        <v>1020</v>
      </c>
    </row>
    <row r="6" spans="1:41" ht="16.350000000000001" customHeight="1" thickTop="1" thickBot="1" x14ac:dyDescent="0.35">
      <c r="B6" s="487"/>
      <c r="C6" s="125" t="s">
        <v>93</v>
      </c>
      <c r="D6" s="126">
        <v>36895</v>
      </c>
      <c r="E6" s="127"/>
      <c r="F6" s="127"/>
      <c r="G6" s="227">
        <f t="shared" ref="G6:G37" si="2">(F6-E6)*24</f>
        <v>0</v>
      </c>
      <c r="H6" s="127"/>
      <c r="I6" s="127"/>
      <c r="J6" s="227">
        <f t="shared" ref="J6:J37" si="3">(I6-H6)*24</f>
        <v>0</v>
      </c>
      <c r="K6" s="115">
        <v>8.5</v>
      </c>
      <c r="L6" s="147">
        <f t="shared" si="0"/>
        <v>0</v>
      </c>
      <c r="M6" s="205"/>
      <c r="N6" s="250">
        <f t="shared" si="1"/>
        <v>0</v>
      </c>
      <c r="O6" s="268"/>
      <c r="P6" s="269"/>
      <c r="Q6" s="269"/>
      <c r="R6" s="269"/>
      <c r="S6" s="269"/>
      <c r="T6" s="269"/>
      <c r="U6" s="269"/>
      <c r="V6" s="180"/>
      <c r="W6" s="157"/>
      <c r="X6" s="158"/>
      <c r="Y6" s="121"/>
      <c r="AC6" s="257"/>
      <c r="AH6" s="260">
        <f>AF7*AH5</f>
        <v>5.104166666666667</v>
      </c>
      <c r="AK6" s="138" t="s">
        <v>281</v>
      </c>
      <c r="AL6" s="263">
        <v>745</v>
      </c>
      <c r="AN6" s="138" t="s">
        <v>281</v>
      </c>
      <c r="AO6" s="263">
        <v>1020</v>
      </c>
    </row>
    <row r="7" spans="1:41" ht="16.350000000000001" customHeight="1" thickTop="1" thickBot="1" x14ac:dyDescent="0.35">
      <c r="A7" s="150"/>
      <c r="B7" s="487"/>
      <c r="C7" s="206" t="s">
        <v>94</v>
      </c>
      <c r="D7" s="126">
        <v>36896</v>
      </c>
      <c r="E7" s="208"/>
      <c r="F7" s="208"/>
      <c r="G7" s="132">
        <f t="shared" si="2"/>
        <v>0</v>
      </c>
      <c r="H7" s="208"/>
      <c r="I7" s="208"/>
      <c r="J7" s="132">
        <f t="shared" si="3"/>
        <v>0</v>
      </c>
      <c r="K7" s="209">
        <v>8.5</v>
      </c>
      <c r="L7" s="210">
        <f t="shared" si="0"/>
        <v>0</v>
      </c>
      <c r="M7" s="211"/>
      <c r="N7" s="249">
        <f t="shared" si="1"/>
        <v>0</v>
      </c>
      <c r="O7" s="267"/>
      <c r="P7" s="266"/>
      <c r="Q7" s="266"/>
      <c r="R7" s="266"/>
      <c r="S7" s="266"/>
      <c r="T7" s="266"/>
      <c r="U7" s="266"/>
      <c r="V7" s="215"/>
      <c r="W7" s="214"/>
      <c r="X7" s="216"/>
      <c r="Y7" s="121"/>
      <c r="AB7" s="257"/>
      <c r="AD7" s="140">
        <f>AC5/AD5</f>
        <v>14.583333333333334</v>
      </c>
      <c r="AE7" s="117" t="s">
        <v>257</v>
      </c>
      <c r="AF7" s="260">
        <f>AF5*AD7</f>
        <v>510.41666666666669</v>
      </c>
      <c r="AH7" s="260">
        <f>AH8-AH9</f>
        <v>5.1041666666666572</v>
      </c>
      <c r="AI7" s="117" t="s">
        <v>264</v>
      </c>
      <c r="AK7" s="138" t="s">
        <v>282</v>
      </c>
      <c r="AL7" s="263">
        <v>745</v>
      </c>
      <c r="AN7" s="138" t="s">
        <v>282</v>
      </c>
      <c r="AO7" s="263">
        <v>1020</v>
      </c>
    </row>
    <row r="8" spans="1:41" ht="16.350000000000001" customHeight="1" thickTop="1" thickBot="1" x14ac:dyDescent="0.35">
      <c r="A8" s="150"/>
      <c r="B8" s="487"/>
      <c r="C8" s="125" t="s">
        <v>95</v>
      </c>
      <c r="D8" s="126">
        <v>36897</v>
      </c>
      <c r="E8" s="127"/>
      <c r="F8" s="127"/>
      <c r="G8" s="227">
        <f t="shared" si="2"/>
        <v>0</v>
      </c>
      <c r="H8" s="127"/>
      <c r="I8" s="127"/>
      <c r="J8" s="227">
        <f t="shared" si="3"/>
        <v>0</v>
      </c>
      <c r="K8" s="115">
        <v>8.5</v>
      </c>
      <c r="L8" s="323">
        <f t="shared" si="0"/>
        <v>0</v>
      </c>
      <c r="M8" s="205"/>
      <c r="N8" s="250">
        <f t="shared" si="1"/>
        <v>0</v>
      </c>
      <c r="O8" s="321"/>
      <c r="P8" s="322"/>
      <c r="Q8" s="269"/>
      <c r="R8" s="269"/>
      <c r="S8" s="270"/>
      <c r="T8" s="269"/>
      <c r="U8" s="269"/>
      <c r="V8" s="180"/>
      <c r="W8" s="157"/>
      <c r="X8" s="158"/>
      <c r="Y8" s="121"/>
      <c r="AE8" s="258"/>
      <c r="AH8" s="260">
        <f>AF7-AC5</f>
        <v>160.41666666666669</v>
      </c>
      <c r="AI8" s="117" t="s">
        <v>262</v>
      </c>
      <c r="AK8" s="138" t="s">
        <v>283</v>
      </c>
      <c r="AL8" s="263">
        <v>745</v>
      </c>
      <c r="AN8" s="138" t="s">
        <v>283</v>
      </c>
      <c r="AO8" s="263">
        <v>1020</v>
      </c>
    </row>
    <row r="9" spans="1:41" ht="16.05" customHeight="1" thickTop="1" thickBot="1" x14ac:dyDescent="0.35">
      <c r="A9" s="150"/>
      <c r="B9" s="487"/>
      <c r="C9" s="206" t="s">
        <v>96</v>
      </c>
      <c r="D9" s="126">
        <v>36898</v>
      </c>
      <c r="E9" s="208"/>
      <c r="F9" s="208"/>
      <c r="G9" s="132">
        <f t="shared" si="2"/>
        <v>0</v>
      </c>
      <c r="H9" s="208"/>
      <c r="I9" s="208"/>
      <c r="J9" s="132">
        <f t="shared" si="3"/>
        <v>0</v>
      </c>
      <c r="K9" s="209">
        <v>8</v>
      </c>
      <c r="L9" s="210">
        <f t="shared" si="0"/>
        <v>0</v>
      </c>
      <c r="M9" s="211"/>
      <c r="N9" s="249">
        <f t="shared" si="1"/>
        <v>0</v>
      </c>
      <c r="O9" s="267"/>
      <c r="P9" s="266"/>
      <c r="Q9" s="266"/>
      <c r="R9" s="266"/>
      <c r="S9" s="266"/>
      <c r="T9" s="266"/>
      <c r="U9" s="271"/>
      <c r="V9" s="215"/>
      <c r="W9" s="214"/>
      <c r="X9" s="216"/>
      <c r="Y9" s="121"/>
      <c r="AG9" s="259">
        <f>AH9/AC5</f>
        <v>0.44375000000000009</v>
      </c>
      <c r="AH9" s="261">
        <f>IF(AH6&gt;1,AH8-AH6,AH8-1)</f>
        <v>155.31250000000003</v>
      </c>
      <c r="AI9" s="117" t="s">
        <v>263</v>
      </c>
      <c r="AK9" s="138" t="s">
        <v>284</v>
      </c>
      <c r="AL9" s="263">
        <v>745</v>
      </c>
      <c r="AN9" s="138" t="s">
        <v>284</v>
      </c>
      <c r="AO9" s="263">
        <v>1020</v>
      </c>
    </row>
    <row r="10" spans="1:41" ht="1.35" customHeight="1" thickTop="1" thickBot="1" x14ac:dyDescent="0.35">
      <c r="A10" s="150"/>
      <c r="B10" s="122"/>
      <c r="C10" s="143" t="s">
        <v>97</v>
      </c>
      <c r="D10" s="126">
        <v>36899</v>
      </c>
      <c r="E10" s="145"/>
      <c r="F10" s="145"/>
      <c r="G10" s="132">
        <f t="shared" si="2"/>
        <v>0</v>
      </c>
      <c r="H10" s="145"/>
      <c r="I10" s="145"/>
      <c r="J10" s="132">
        <f t="shared" si="3"/>
        <v>0</v>
      </c>
      <c r="K10" s="146">
        <v>8</v>
      </c>
      <c r="L10" s="147">
        <f t="shared" si="0"/>
        <v>0</v>
      </c>
      <c r="M10" s="205"/>
      <c r="N10" s="250">
        <f t="shared" si="1"/>
        <v>0</v>
      </c>
      <c r="O10" s="272"/>
      <c r="P10" s="273"/>
      <c r="Q10" s="273"/>
      <c r="R10" s="273"/>
      <c r="S10" s="273"/>
      <c r="T10" s="273"/>
      <c r="U10" s="274"/>
      <c r="V10" s="181"/>
      <c r="W10" s="162"/>
      <c r="X10" s="164"/>
      <c r="Y10" s="121"/>
      <c r="AK10" s="138" t="s">
        <v>285</v>
      </c>
      <c r="AL10" s="263">
        <v>745</v>
      </c>
      <c r="AN10" s="138" t="s">
        <v>285</v>
      </c>
      <c r="AO10" s="263">
        <v>1020</v>
      </c>
    </row>
    <row r="11" spans="1:41" ht="1.35" customHeight="1" thickTop="1" thickBot="1" x14ac:dyDescent="0.35">
      <c r="A11" s="150"/>
      <c r="B11" s="122"/>
      <c r="C11" s="143" t="s">
        <v>98</v>
      </c>
      <c r="D11" s="126">
        <v>36900</v>
      </c>
      <c r="E11" s="145"/>
      <c r="F11" s="145"/>
      <c r="G11" s="132">
        <f t="shared" si="2"/>
        <v>0</v>
      </c>
      <c r="H11" s="145"/>
      <c r="I11" s="145"/>
      <c r="J11" s="132">
        <f t="shared" si="3"/>
        <v>0</v>
      </c>
      <c r="K11" s="146">
        <v>8</v>
      </c>
      <c r="L11" s="147"/>
      <c r="M11" s="205"/>
      <c r="N11" s="250">
        <f t="shared" si="1"/>
        <v>0</v>
      </c>
      <c r="O11" s="272"/>
      <c r="P11" s="273"/>
      <c r="Q11" s="273"/>
      <c r="R11" s="273"/>
      <c r="S11" s="274"/>
      <c r="T11" s="273"/>
      <c r="U11" s="274"/>
      <c r="V11" s="181"/>
      <c r="W11" s="163"/>
      <c r="X11" s="164"/>
      <c r="Y11" s="121"/>
      <c r="AK11" s="138" t="s">
        <v>286</v>
      </c>
      <c r="AL11" s="263">
        <v>745</v>
      </c>
      <c r="AN11" s="138" t="s">
        <v>286</v>
      </c>
      <c r="AO11" s="263">
        <v>1020</v>
      </c>
    </row>
    <row r="12" spans="1:41" ht="16.05" customHeight="1" thickTop="1" thickBot="1" x14ac:dyDescent="0.35">
      <c r="A12" s="150"/>
      <c r="B12" s="487">
        <f>_xlfn.ISOWEEKNUM(D12)</f>
        <v>2</v>
      </c>
      <c r="C12" s="125" t="s">
        <v>99</v>
      </c>
      <c r="D12" s="126">
        <v>36901</v>
      </c>
      <c r="E12" s="127"/>
      <c r="F12" s="127"/>
      <c r="G12" s="227">
        <f t="shared" si="2"/>
        <v>0</v>
      </c>
      <c r="H12" s="127"/>
      <c r="I12" s="127"/>
      <c r="J12" s="227">
        <f t="shared" si="3"/>
        <v>0</v>
      </c>
      <c r="K12" s="115">
        <v>8.5</v>
      </c>
      <c r="L12" s="147"/>
      <c r="M12" s="205"/>
      <c r="N12" s="250">
        <f t="shared" si="1"/>
        <v>0</v>
      </c>
      <c r="O12" s="269"/>
      <c r="P12" s="269"/>
      <c r="Q12" s="275"/>
      <c r="R12" s="275"/>
      <c r="S12" s="269"/>
      <c r="T12" s="269"/>
      <c r="U12" s="270"/>
      <c r="V12" s="180"/>
      <c r="W12" s="157"/>
      <c r="X12" s="158"/>
      <c r="Y12" s="121"/>
      <c r="AH12" s="257"/>
      <c r="AK12" s="138" t="s">
        <v>287</v>
      </c>
      <c r="AL12" s="263">
        <v>945</v>
      </c>
      <c r="AN12" s="138" t="s">
        <v>287</v>
      </c>
      <c r="AO12" s="263">
        <v>1150</v>
      </c>
    </row>
    <row r="13" spans="1:41" ht="16.05" customHeight="1" thickTop="1" thickBot="1" x14ac:dyDescent="0.35">
      <c r="A13" s="150"/>
      <c r="B13" s="487"/>
      <c r="C13" s="206" t="s">
        <v>93</v>
      </c>
      <c r="D13" s="126">
        <v>36902</v>
      </c>
      <c r="E13" s="208"/>
      <c r="F13" s="208"/>
      <c r="G13" s="132">
        <f t="shared" si="2"/>
        <v>0</v>
      </c>
      <c r="H13" s="208"/>
      <c r="I13" s="325"/>
      <c r="J13" s="132">
        <f t="shared" si="3"/>
        <v>0</v>
      </c>
      <c r="K13" s="209">
        <v>8.5</v>
      </c>
      <c r="L13" s="210"/>
      <c r="M13" s="211"/>
      <c r="N13" s="249">
        <f t="shared" si="1"/>
        <v>0</v>
      </c>
      <c r="O13" s="266"/>
      <c r="P13" s="266"/>
      <c r="Q13" s="266"/>
      <c r="R13" s="266"/>
      <c r="S13" s="271"/>
      <c r="T13" s="266"/>
      <c r="U13" s="271"/>
      <c r="V13" s="215"/>
      <c r="W13" s="217"/>
      <c r="X13" s="219"/>
      <c r="Y13" s="133"/>
      <c r="AK13" s="138" t="s">
        <v>288</v>
      </c>
      <c r="AL13" s="263">
        <v>1020</v>
      </c>
      <c r="AN13" s="138" t="s">
        <v>288</v>
      </c>
      <c r="AO13" s="263">
        <v>1300</v>
      </c>
    </row>
    <row r="14" spans="1:41" ht="16.05" customHeight="1" thickTop="1" thickBot="1" x14ac:dyDescent="0.35">
      <c r="A14" s="150"/>
      <c r="B14" s="487"/>
      <c r="C14" s="125" t="s">
        <v>94</v>
      </c>
      <c r="D14" s="126">
        <v>36903</v>
      </c>
      <c r="E14" s="127"/>
      <c r="F14" s="127"/>
      <c r="G14" s="227">
        <f t="shared" si="2"/>
        <v>0</v>
      </c>
      <c r="H14" s="127"/>
      <c r="I14" s="127"/>
      <c r="J14" s="227">
        <f t="shared" si="3"/>
        <v>0</v>
      </c>
      <c r="K14" s="115">
        <v>8.5</v>
      </c>
      <c r="L14" s="147"/>
      <c r="M14" s="205"/>
      <c r="N14" s="250">
        <f t="shared" si="1"/>
        <v>0</v>
      </c>
      <c r="O14" s="269"/>
      <c r="P14" s="269"/>
      <c r="Q14" s="269"/>
      <c r="R14" s="269"/>
      <c r="S14" s="270"/>
      <c r="T14" s="269"/>
      <c r="U14" s="269"/>
      <c r="V14" s="180"/>
      <c r="W14" s="157"/>
      <c r="X14" s="158"/>
      <c r="Y14" s="133"/>
      <c r="AH14" s="257"/>
      <c r="AK14" s="138" t="s">
        <v>289</v>
      </c>
      <c r="AL14" s="263">
        <v>1020</v>
      </c>
      <c r="AN14" s="138" t="s">
        <v>289</v>
      </c>
      <c r="AO14" s="263">
        <v>1300</v>
      </c>
    </row>
    <row r="15" spans="1:41" ht="16.05" customHeight="1" thickTop="1" thickBot="1" x14ac:dyDescent="0.35">
      <c r="A15" s="150"/>
      <c r="B15" s="487"/>
      <c r="C15" s="206" t="s">
        <v>95</v>
      </c>
      <c r="D15" s="126">
        <v>36904</v>
      </c>
      <c r="E15" s="208"/>
      <c r="F15" s="208"/>
      <c r="G15" s="132">
        <f t="shared" si="2"/>
        <v>0</v>
      </c>
      <c r="H15" s="208"/>
      <c r="I15" s="208"/>
      <c r="J15" s="132">
        <f t="shared" si="3"/>
        <v>0</v>
      </c>
      <c r="K15" s="209">
        <v>8.5</v>
      </c>
      <c r="L15" s="210"/>
      <c r="M15" s="211"/>
      <c r="N15" s="249">
        <f t="shared" si="1"/>
        <v>0</v>
      </c>
      <c r="O15" s="266"/>
      <c r="P15" s="266"/>
      <c r="Q15" s="266"/>
      <c r="R15" s="266"/>
      <c r="S15" s="265"/>
      <c r="T15" s="265"/>
      <c r="U15" s="266"/>
      <c r="V15" s="215"/>
      <c r="W15" s="214"/>
      <c r="X15" s="216"/>
      <c r="Y15" s="133"/>
      <c r="AC15" s="117" t="s">
        <v>259</v>
      </c>
      <c r="AD15" s="117" t="s">
        <v>258</v>
      </c>
      <c r="AF15" s="117" t="s">
        <v>260</v>
      </c>
      <c r="AH15" s="117" t="s">
        <v>240</v>
      </c>
      <c r="AK15" s="138" t="s">
        <v>290</v>
      </c>
      <c r="AL15" s="263">
        <v>1020</v>
      </c>
      <c r="AN15" s="138" t="s">
        <v>290</v>
      </c>
      <c r="AO15" s="263">
        <v>1300</v>
      </c>
    </row>
    <row r="16" spans="1:41" ht="16.05" customHeight="1" thickTop="1" thickBot="1" x14ac:dyDescent="0.35">
      <c r="A16" s="150"/>
      <c r="B16" s="487"/>
      <c r="C16" s="125" t="s">
        <v>96</v>
      </c>
      <c r="D16" s="126">
        <v>36905</v>
      </c>
      <c r="E16" s="127"/>
      <c r="F16" s="127"/>
      <c r="G16" s="227">
        <f t="shared" si="2"/>
        <v>0</v>
      </c>
      <c r="H16" s="127"/>
      <c r="I16" s="127"/>
      <c r="J16" s="227">
        <f t="shared" si="3"/>
        <v>0</v>
      </c>
      <c r="K16" s="115">
        <v>8</v>
      </c>
      <c r="L16" s="281"/>
      <c r="M16" s="205"/>
      <c r="N16" s="250">
        <f t="shared" si="1"/>
        <v>0</v>
      </c>
      <c r="O16" s="269"/>
      <c r="P16" s="269"/>
      <c r="Q16" s="269"/>
      <c r="R16" s="269"/>
      <c r="S16" s="270"/>
      <c r="T16" s="269"/>
      <c r="U16" s="269"/>
      <c r="V16" s="180"/>
      <c r="W16" s="157"/>
      <c r="X16" s="158"/>
      <c r="Y16" s="133"/>
      <c r="AC16" s="260">
        <v>650</v>
      </c>
      <c r="AD16" s="260">
        <v>1.28</v>
      </c>
      <c r="AF16" s="260">
        <v>1.29</v>
      </c>
      <c r="AH16" s="259">
        <v>0.01</v>
      </c>
      <c r="AI16" s="117" t="s">
        <v>261</v>
      </c>
      <c r="AK16" s="138" t="s">
        <v>291</v>
      </c>
      <c r="AL16" s="263">
        <v>1020</v>
      </c>
      <c r="AN16" s="138" t="s">
        <v>291</v>
      </c>
      <c r="AO16" s="263">
        <v>1300</v>
      </c>
    </row>
    <row r="17" spans="1:41" ht="1.35" customHeight="1" thickTop="1" thickBot="1" x14ac:dyDescent="0.35">
      <c r="A17" s="150"/>
      <c r="B17" s="185"/>
      <c r="C17" s="143" t="s">
        <v>97</v>
      </c>
      <c r="D17" s="126">
        <v>36906</v>
      </c>
      <c r="E17" s="145"/>
      <c r="F17" s="145"/>
      <c r="G17" s="132">
        <f t="shared" si="2"/>
        <v>0</v>
      </c>
      <c r="H17" s="145"/>
      <c r="I17" s="145"/>
      <c r="J17" s="132">
        <f t="shared" si="3"/>
        <v>0</v>
      </c>
      <c r="K17" s="146">
        <v>8</v>
      </c>
      <c r="L17" s="148"/>
      <c r="M17" s="205"/>
      <c r="N17" s="250">
        <f t="shared" si="1"/>
        <v>0</v>
      </c>
      <c r="O17" s="272"/>
      <c r="P17" s="273"/>
      <c r="Q17" s="273"/>
      <c r="R17" s="273"/>
      <c r="S17" s="273"/>
      <c r="T17" s="273"/>
      <c r="U17" s="273"/>
      <c r="V17" s="181"/>
      <c r="W17" s="162"/>
      <c r="X17" s="164"/>
      <c r="Y17" s="133"/>
      <c r="AC17" s="257"/>
      <c r="AH17" s="260">
        <f>AF18*AH16</f>
        <v>6.55078125</v>
      </c>
      <c r="AL17" s="263"/>
      <c r="AO17" s="263"/>
    </row>
    <row r="18" spans="1:41" ht="1.35" customHeight="1" thickTop="1" thickBot="1" x14ac:dyDescent="0.35">
      <c r="A18" s="150"/>
      <c r="B18" s="185"/>
      <c r="C18" s="143" t="s">
        <v>98</v>
      </c>
      <c r="D18" s="126">
        <v>36907</v>
      </c>
      <c r="E18" s="145"/>
      <c r="F18" s="145"/>
      <c r="G18" s="132">
        <f t="shared" si="2"/>
        <v>0</v>
      </c>
      <c r="H18" s="145"/>
      <c r="I18" s="145"/>
      <c r="J18" s="132">
        <f t="shared" si="3"/>
        <v>0</v>
      </c>
      <c r="K18" s="146">
        <v>8</v>
      </c>
      <c r="L18" s="148"/>
      <c r="M18" s="205"/>
      <c r="N18" s="250">
        <f t="shared" si="1"/>
        <v>0</v>
      </c>
      <c r="O18" s="272"/>
      <c r="P18" s="273"/>
      <c r="Q18" s="273"/>
      <c r="R18" s="273"/>
      <c r="S18" s="274"/>
      <c r="T18" s="273"/>
      <c r="U18" s="273"/>
      <c r="V18" s="181"/>
      <c r="W18" s="162"/>
      <c r="X18" s="164"/>
      <c r="Y18" s="133"/>
      <c r="AD18" s="140">
        <f>AC16/AD16</f>
        <v>507.8125</v>
      </c>
      <c r="AE18" s="117" t="s">
        <v>257</v>
      </c>
      <c r="AF18" s="260">
        <f>AF16*AD18</f>
        <v>655.078125</v>
      </c>
      <c r="AH18" s="260">
        <f>AH19-AH20</f>
        <v>6.55078125</v>
      </c>
      <c r="AI18" s="117" t="s">
        <v>264</v>
      </c>
      <c r="AL18" s="263"/>
      <c r="AO18" s="263">
        <f>SUM(AO5:AO16)</f>
        <v>13490</v>
      </c>
    </row>
    <row r="19" spans="1:41" ht="16.05" customHeight="1" thickTop="1" thickBot="1" x14ac:dyDescent="0.35">
      <c r="A19" s="150"/>
      <c r="B19" s="487">
        <f>_xlfn.ISOWEEKNUM(D19)</f>
        <v>3</v>
      </c>
      <c r="C19" s="206" t="s">
        <v>99</v>
      </c>
      <c r="D19" s="126">
        <v>36908</v>
      </c>
      <c r="E19" s="208"/>
      <c r="F19" s="208"/>
      <c r="G19" s="132">
        <f t="shared" si="2"/>
        <v>0</v>
      </c>
      <c r="H19" s="208"/>
      <c r="I19" s="208"/>
      <c r="J19" s="132">
        <f t="shared" si="3"/>
        <v>0</v>
      </c>
      <c r="K19" s="209">
        <v>8.5</v>
      </c>
      <c r="L19" s="210"/>
      <c r="M19" s="211"/>
      <c r="N19" s="249">
        <f t="shared" si="1"/>
        <v>0</v>
      </c>
      <c r="O19" s="267"/>
      <c r="P19" s="266"/>
      <c r="Q19" s="266"/>
      <c r="R19" s="266"/>
      <c r="S19" s="271"/>
      <c r="T19" s="266"/>
      <c r="U19" s="271"/>
      <c r="V19" s="215"/>
      <c r="W19" s="214"/>
      <c r="X19" s="216"/>
      <c r="Y19" s="133"/>
      <c r="AE19" s="258"/>
      <c r="AH19" s="260">
        <f>AF18-AC16</f>
        <v>5.078125</v>
      </c>
      <c r="AI19" s="117" t="s">
        <v>262</v>
      </c>
      <c r="AL19" s="263">
        <f>SUM(AL5:AL16)</f>
        <v>10240</v>
      </c>
      <c r="AO19" s="263">
        <f>SUM(AO5:AO16)</f>
        <v>13490</v>
      </c>
    </row>
    <row r="20" spans="1:41" ht="16.05" customHeight="1" thickTop="1" thickBot="1" x14ac:dyDescent="0.35">
      <c r="A20" s="150"/>
      <c r="B20" s="487"/>
      <c r="C20" s="125" t="s">
        <v>93</v>
      </c>
      <c r="D20" s="126">
        <v>36909</v>
      </c>
      <c r="E20" s="127"/>
      <c r="F20" s="127"/>
      <c r="G20" s="227">
        <f t="shared" si="2"/>
        <v>0</v>
      </c>
      <c r="H20" s="127"/>
      <c r="I20" s="127"/>
      <c r="J20" s="227">
        <f t="shared" si="3"/>
        <v>0</v>
      </c>
      <c r="K20" s="115">
        <v>8.5</v>
      </c>
      <c r="L20" s="147">
        <f t="shared" si="0"/>
        <v>0</v>
      </c>
      <c r="M20" s="205"/>
      <c r="N20" s="250">
        <f t="shared" si="1"/>
        <v>0</v>
      </c>
      <c r="O20" s="269"/>
      <c r="P20" s="269"/>
      <c r="Q20" s="269"/>
      <c r="R20" s="269"/>
      <c r="U20" s="269"/>
      <c r="V20" s="180"/>
      <c r="W20" s="157"/>
      <c r="X20" s="158"/>
      <c r="Y20" s="133"/>
      <c r="AD20" s="140">
        <f>AC16/AD16</f>
        <v>507.8125</v>
      </c>
      <c r="AE20" s="117" t="s">
        <v>268</v>
      </c>
      <c r="AF20" s="260">
        <f>AF16*AD20</f>
        <v>655.078125</v>
      </c>
      <c r="AG20" s="259">
        <f>AH20/AC16</f>
        <v>-2.2656249999999998E-3</v>
      </c>
      <c r="AH20" s="261">
        <f>IF(AH17&gt;1,AH19-AH17,AH19-1)</f>
        <v>-1.47265625</v>
      </c>
      <c r="AI20" s="117" t="s">
        <v>263</v>
      </c>
    </row>
    <row r="21" spans="1:41" ht="16.05" customHeight="1" thickTop="1" thickBot="1" x14ac:dyDescent="0.35">
      <c r="A21" s="150"/>
      <c r="B21" s="487"/>
      <c r="C21" s="206" t="s">
        <v>94</v>
      </c>
      <c r="D21" s="126">
        <v>36910</v>
      </c>
      <c r="E21" s="208"/>
      <c r="F21" s="208"/>
      <c r="G21" s="132">
        <f t="shared" si="2"/>
        <v>0</v>
      </c>
      <c r="H21" s="208"/>
      <c r="I21" s="208"/>
      <c r="J21" s="132">
        <f t="shared" si="3"/>
        <v>0</v>
      </c>
      <c r="K21" s="209">
        <v>8.5</v>
      </c>
      <c r="L21" s="210">
        <f t="shared" si="0"/>
        <v>0</v>
      </c>
      <c r="M21" s="211"/>
      <c r="N21" s="249">
        <f t="shared" si="1"/>
        <v>0</v>
      </c>
      <c r="O21" s="267"/>
      <c r="P21" s="266"/>
      <c r="Q21" s="266"/>
      <c r="R21" s="266"/>
      <c r="S21" s="266"/>
      <c r="T21" s="266"/>
      <c r="U21" s="266"/>
      <c r="V21" s="215"/>
      <c r="W21" s="214"/>
      <c r="X21" s="216"/>
      <c r="Y21" s="133"/>
      <c r="AK21" s="117">
        <v>2023</v>
      </c>
      <c r="AN21" s="117">
        <v>2024</v>
      </c>
    </row>
    <row r="22" spans="1:41" ht="16.05" customHeight="1" thickTop="1" thickBot="1" x14ac:dyDescent="0.35">
      <c r="A22" s="150"/>
      <c r="B22" s="487"/>
      <c r="C22" s="125" t="s">
        <v>95</v>
      </c>
      <c r="D22" s="126">
        <v>36911</v>
      </c>
      <c r="E22" s="127"/>
      <c r="F22" s="127"/>
      <c r="G22" s="227">
        <f t="shared" si="2"/>
        <v>0</v>
      </c>
      <c r="H22" s="127"/>
      <c r="I22" s="127"/>
      <c r="J22" s="227">
        <f t="shared" si="3"/>
        <v>0</v>
      </c>
      <c r="K22" s="115">
        <v>8.5</v>
      </c>
      <c r="L22" s="147">
        <f t="shared" si="0"/>
        <v>0</v>
      </c>
      <c r="M22" s="205"/>
      <c r="N22" s="250">
        <f t="shared" si="1"/>
        <v>0</v>
      </c>
      <c r="O22" s="268"/>
      <c r="P22" s="269"/>
      <c r="Q22" s="269"/>
      <c r="R22" s="269"/>
      <c r="S22" s="269"/>
      <c r="T22" s="269"/>
      <c r="U22" s="269"/>
      <c r="V22" s="180"/>
      <c r="W22" s="157"/>
      <c r="X22" s="158"/>
      <c r="Y22" s="133"/>
      <c r="AK22" s="138"/>
      <c r="AN22" s="138"/>
    </row>
    <row r="23" spans="1:41" ht="16.05" customHeight="1" thickTop="1" thickBot="1" x14ac:dyDescent="0.35">
      <c r="A23" s="150"/>
      <c r="B23" s="487"/>
      <c r="C23" s="206" t="s">
        <v>96</v>
      </c>
      <c r="D23" s="126">
        <v>36912</v>
      </c>
      <c r="E23" s="208"/>
      <c r="F23" s="208"/>
      <c r="G23" s="132">
        <f t="shared" si="2"/>
        <v>0</v>
      </c>
      <c r="H23" s="208"/>
      <c r="I23" s="208"/>
      <c r="J23" s="132">
        <f t="shared" si="3"/>
        <v>0</v>
      </c>
      <c r="K23" s="209">
        <v>8</v>
      </c>
      <c r="L23" s="210">
        <f t="shared" si="0"/>
        <v>0</v>
      </c>
      <c r="M23" s="211"/>
      <c r="N23" s="249">
        <f t="shared" si="1"/>
        <v>0</v>
      </c>
      <c r="O23" s="267"/>
      <c r="P23" s="266"/>
      <c r="Q23" s="266"/>
      <c r="R23" s="266"/>
      <c r="S23" s="266"/>
      <c r="T23" s="266"/>
      <c r="U23" s="266"/>
      <c r="V23" s="215"/>
      <c r="W23" s="214"/>
      <c r="X23" s="216"/>
      <c r="Y23" s="133"/>
      <c r="AC23" s="117" t="s">
        <v>259</v>
      </c>
      <c r="AD23" s="117" t="s">
        <v>258</v>
      </c>
      <c r="AF23" s="117" t="s">
        <v>260</v>
      </c>
      <c r="AH23" s="117" t="s">
        <v>240</v>
      </c>
      <c r="AK23" s="138" t="s">
        <v>280</v>
      </c>
      <c r="AL23" s="263">
        <v>1300</v>
      </c>
      <c r="AN23" s="138" t="s">
        <v>280</v>
      </c>
      <c r="AO23" s="263">
        <v>1850</v>
      </c>
    </row>
    <row r="24" spans="1:41" ht="1.35" customHeight="1" thickTop="1" thickBot="1" x14ac:dyDescent="0.35">
      <c r="A24" s="150"/>
      <c r="B24" s="185"/>
      <c r="C24" s="143" t="s">
        <v>97</v>
      </c>
      <c r="D24" s="126">
        <v>36913</v>
      </c>
      <c r="E24" s="145"/>
      <c r="F24" s="145"/>
      <c r="G24" s="132">
        <f t="shared" si="2"/>
        <v>0</v>
      </c>
      <c r="H24" s="145"/>
      <c r="I24" s="145"/>
      <c r="J24" s="132">
        <f t="shared" si="3"/>
        <v>0</v>
      </c>
      <c r="K24" s="146">
        <v>8</v>
      </c>
      <c r="L24" s="148">
        <f>K24</f>
        <v>8</v>
      </c>
      <c r="M24" s="205"/>
      <c r="N24" s="250">
        <f t="shared" si="1"/>
        <v>0</v>
      </c>
      <c r="O24" s="272"/>
      <c r="P24" s="273"/>
      <c r="Q24" s="273"/>
      <c r="R24" s="273"/>
      <c r="S24" s="273"/>
      <c r="T24" s="273"/>
      <c r="U24" s="273"/>
      <c r="V24" s="181"/>
      <c r="W24" s="162"/>
      <c r="X24" s="164"/>
      <c r="Y24" s="133"/>
      <c r="AK24" s="138" t="s">
        <v>281</v>
      </c>
      <c r="AL24" s="263">
        <v>1300</v>
      </c>
      <c r="AN24" s="138" t="s">
        <v>281</v>
      </c>
      <c r="AO24" s="263">
        <v>1850</v>
      </c>
    </row>
    <row r="25" spans="1:41" ht="1.35" customHeight="1" thickTop="1" thickBot="1" x14ac:dyDescent="0.35">
      <c r="A25" s="150"/>
      <c r="B25" s="185"/>
      <c r="C25" s="143" t="s">
        <v>98</v>
      </c>
      <c r="D25" s="126">
        <v>36914</v>
      </c>
      <c r="E25" s="145"/>
      <c r="F25" s="145"/>
      <c r="G25" s="132">
        <f t="shared" si="2"/>
        <v>0</v>
      </c>
      <c r="H25" s="145"/>
      <c r="I25" s="145"/>
      <c r="J25" s="132">
        <f t="shared" si="3"/>
        <v>0</v>
      </c>
      <c r="K25" s="146">
        <v>8</v>
      </c>
      <c r="L25" s="148">
        <f>K25</f>
        <v>8</v>
      </c>
      <c r="M25" s="205"/>
      <c r="N25" s="250">
        <f t="shared" si="1"/>
        <v>0</v>
      </c>
      <c r="O25" s="272"/>
      <c r="P25" s="273"/>
      <c r="Q25" s="273"/>
      <c r="R25" s="273"/>
      <c r="S25" s="273"/>
      <c r="T25" s="273"/>
      <c r="U25" s="273"/>
      <c r="V25" s="181"/>
      <c r="W25" s="162"/>
      <c r="X25" s="164"/>
      <c r="Y25" s="133"/>
      <c r="AK25" s="138" t="s">
        <v>282</v>
      </c>
      <c r="AL25" s="263">
        <v>1300</v>
      </c>
      <c r="AN25" s="138" t="s">
        <v>282</v>
      </c>
      <c r="AO25" s="263">
        <v>1850</v>
      </c>
    </row>
    <row r="26" spans="1:41" ht="16.05" customHeight="1" thickTop="1" thickBot="1" x14ac:dyDescent="0.35">
      <c r="A26" s="150"/>
      <c r="B26" s="487">
        <f>_xlfn.ISOWEEKNUM(D26)</f>
        <v>4</v>
      </c>
      <c r="C26" s="125" t="s">
        <v>99</v>
      </c>
      <c r="D26" s="126">
        <v>36915</v>
      </c>
      <c r="E26" s="127"/>
      <c r="F26" s="127"/>
      <c r="G26" s="227">
        <f t="shared" si="2"/>
        <v>0</v>
      </c>
      <c r="H26" s="127"/>
      <c r="I26" s="127"/>
      <c r="J26" s="227">
        <f t="shared" si="3"/>
        <v>0</v>
      </c>
      <c r="K26" s="115">
        <v>8.5</v>
      </c>
      <c r="L26" s="147">
        <f t="shared" si="0"/>
        <v>0</v>
      </c>
      <c r="M26" s="205"/>
      <c r="N26" s="250">
        <f t="shared" si="1"/>
        <v>0</v>
      </c>
      <c r="O26" s="268"/>
      <c r="P26" s="269"/>
      <c r="Q26" s="269"/>
      <c r="R26" s="269"/>
      <c r="S26" s="269"/>
      <c r="T26" s="269"/>
      <c r="U26" s="269"/>
      <c r="V26" s="180"/>
      <c r="W26" s="157"/>
      <c r="X26" s="158"/>
      <c r="Y26" s="133"/>
      <c r="AC26" s="260">
        <v>350</v>
      </c>
      <c r="AD26" s="260">
        <v>0.8</v>
      </c>
      <c r="AF26" s="260">
        <v>1.2</v>
      </c>
      <c r="AH26" s="259">
        <v>0.01</v>
      </c>
      <c r="AI26" s="117" t="s">
        <v>261</v>
      </c>
      <c r="AK26" s="138" t="s">
        <v>283</v>
      </c>
      <c r="AL26" s="263">
        <v>1300</v>
      </c>
      <c r="AN26" s="138" t="s">
        <v>283</v>
      </c>
      <c r="AO26" s="263">
        <v>1850</v>
      </c>
    </row>
    <row r="27" spans="1:41" ht="16.05" customHeight="1" thickTop="1" thickBot="1" x14ac:dyDescent="0.35">
      <c r="A27" s="150"/>
      <c r="B27" s="487"/>
      <c r="C27" s="206" t="s">
        <v>93</v>
      </c>
      <c r="D27" s="126">
        <v>36916</v>
      </c>
      <c r="E27" s="208"/>
      <c r="F27" s="208"/>
      <c r="G27" s="132">
        <f t="shared" si="2"/>
        <v>0</v>
      </c>
      <c r="H27" s="208"/>
      <c r="I27" s="208"/>
      <c r="J27" s="132">
        <f t="shared" si="3"/>
        <v>0</v>
      </c>
      <c r="K27" s="209">
        <v>8.5</v>
      </c>
      <c r="L27" s="210">
        <f t="shared" si="0"/>
        <v>0</v>
      </c>
      <c r="M27" s="211"/>
      <c r="N27" s="249">
        <f t="shared" si="1"/>
        <v>0</v>
      </c>
      <c r="O27" s="267"/>
      <c r="P27" s="266"/>
      <c r="Q27" s="266"/>
      <c r="R27" s="266"/>
      <c r="S27" s="266"/>
      <c r="T27" s="266"/>
      <c r="U27" s="266"/>
      <c r="V27" s="215"/>
      <c r="W27" s="214"/>
      <c r="X27" s="216"/>
      <c r="Y27" s="121"/>
      <c r="AC27" s="257"/>
      <c r="AH27" s="260">
        <f>AF28*AH26</f>
        <v>5.25</v>
      </c>
      <c r="AK27" s="138" t="s">
        <v>284</v>
      </c>
      <c r="AL27" s="263">
        <v>1300</v>
      </c>
      <c r="AN27" s="138" t="s">
        <v>284</v>
      </c>
      <c r="AO27" s="263">
        <v>1850</v>
      </c>
    </row>
    <row r="28" spans="1:41" ht="16.05" customHeight="1" thickTop="1" thickBot="1" x14ac:dyDescent="0.35">
      <c r="A28" s="150"/>
      <c r="B28" s="487"/>
      <c r="C28" s="125" t="s">
        <v>94</v>
      </c>
      <c r="D28" s="126">
        <v>36917</v>
      </c>
      <c r="E28" s="127"/>
      <c r="F28" s="127"/>
      <c r="G28" s="227">
        <f t="shared" si="2"/>
        <v>0</v>
      </c>
      <c r="H28" s="127"/>
      <c r="I28" s="127"/>
      <c r="J28" s="227">
        <f t="shared" si="3"/>
        <v>0</v>
      </c>
      <c r="K28" s="115">
        <v>8.5</v>
      </c>
      <c r="L28" s="147">
        <f t="shared" si="0"/>
        <v>0</v>
      </c>
      <c r="M28" s="205"/>
      <c r="N28" s="250">
        <f t="shared" si="1"/>
        <v>0</v>
      </c>
      <c r="O28" s="268"/>
      <c r="P28" s="269"/>
      <c r="Q28" s="269"/>
      <c r="R28" s="269"/>
      <c r="S28" s="269"/>
      <c r="T28" s="269"/>
      <c r="U28" s="269"/>
      <c r="V28" s="180"/>
      <c r="W28" s="157"/>
      <c r="X28" s="158"/>
      <c r="Y28" s="121"/>
      <c r="AD28" s="140">
        <f>AC26/AD26</f>
        <v>437.5</v>
      </c>
      <c r="AE28" s="117" t="s">
        <v>268</v>
      </c>
      <c r="AF28" s="260">
        <f>AF26*AD28</f>
        <v>525</v>
      </c>
      <c r="AH28" s="260">
        <f>AH29-AH30</f>
        <v>5.25</v>
      </c>
      <c r="AI28" s="117" t="s">
        <v>264</v>
      </c>
      <c r="AK28" s="138" t="s">
        <v>285</v>
      </c>
      <c r="AL28" s="263">
        <v>1300</v>
      </c>
      <c r="AN28" s="138" t="s">
        <v>285</v>
      </c>
      <c r="AO28" s="263">
        <v>1850</v>
      </c>
    </row>
    <row r="29" spans="1:41" ht="16.05" customHeight="1" thickTop="1" thickBot="1" x14ac:dyDescent="0.35">
      <c r="A29" s="150"/>
      <c r="B29" s="487"/>
      <c r="C29" s="206" t="s">
        <v>95</v>
      </c>
      <c r="D29" s="126">
        <v>36918</v>
      </c>
      <c r="E29" s="208"/>
      <c r="F29" s="208"/>
      <c r="G29" s="132">
        <f t="shared" si="2"/>
        <v>0</v>
      </c>
      <c r="H29" s="208"/>
      <c r="I29" s="208"/>
      <c r="J29" s="132">
        <f t="shared" si="3"/>
        <v>0</v>
      </c>
      <c r="K29" s="209">
        <v>8.5</v>
      </c>
      <c r="L29" s="210">
        <f t="shared" si="0"/>
        <v>0</v>
      </c>
      <c r="M29" s="211"/>
      <c r="N29" s="249">
        <f t="shared" si="1"/>
        <v>0</v>
      </c>
      <c r="O29" s="267"/>
      <c r="P29" s="266"/>
      <c r="Q29" s="266"/>
      <c r="R29" s="266"/>
      <c r="S29" s="266"/>
      <c r="T29" s="266"/>
      <c r="U29" s="266"/>
      <c r="V29" s="215"/>
      <c r="W29" s="214"/>
      <c r="X29" s="216"/>
      <c r="Y29" s="121"/>
      <c r="AE29" s="258"/>
      <c r="AH29" s="260">
        <f>AF28-AC26</f>
        <v>175</v>
      </c>
      <c r="AI29" s="117" t="s">
        <v>262</v>
      </c>
      <c r="AK29" s="138" t="s">
        <v>286</v>
      </c>
      <c r="AL29" s="263">
        <v>1300</v>
      </c>
      <c r="AN29" s="138" t="s">
        <v>286</v>
      </c>
      <c r="AO29" s="263">
        <v>1850</v>
      </c>
    </row>
    <row r="30" spans="1:41" ht="16.05" customHeight="1" thickTop="1" thickBot="1" x14ac:dyDescent="0.35">
      <c r="A30" s="150"/>
      <c r="B30" s="487"/>
      <c r="C30" s="125" t="s">
        <v>96</v>
      </c>
      <c r="D30" s="126">
        <v>36919</v>
      </c>
      <c r="E30" s="127"/>
      <c r="F30" s="127"/>
      <c r="G30" s="227">
        <f t="shared" si="2"/>
        <v>0</v>
      </c>
      <c r="H30" s="127"/>
      <c r="I30" s="127"/>
      <c r="J30" s="227">
        <f t="shared" si="3"/>
        <v>0</v>
      </c>
      <c r="K30" s="115">
        <v>8</v>
      </c>
      <c r="L30" s="147">
        <f t="shared" si="0"/>
        <v>0</v>
      </c>
      <c r="M30" s="205"/>
      <c r="N30" s="250">
        <f t="shared" si="1"/>
        <v>0</v>
      </c>
      <c r="O30" s="268"/>
      <c r="P30" s="269"/>
      <c r="Q30" s="269"/>
      <c r="R30" s="269"/>
      <c r="S30" s="269"/>
      <c r="T30" s="269"/>
      <c r="U30" s="269"/>
      <c r="V30" s="180"/>
      <c r="W30" s="157"/>
      <c r="X30" s="158"/>
      <c r="Y30" s="121"/>
      <c r="AG30" s="259">
        <f>AH30/AC26</f>
        <v>0.48499999999999999</v>
      </c>
      <c r="AH30" s="261">
        <f>IF(AH27&gt;1,AH29-AH27,AH29-1)</f>
        <v>169.75</v>
      </c>
      <c r="AI30" s="117" t="s">
        <v>263</v>
      </c>
      <c r="AK30" s="138" t="s">
        <v>287</v>
      </c>
      <c r="AL30" s="263">
        <v>1500</v>
      </c>
      <c r="AN30" s="138" t="s">
        <v>287</v>
      </c>
      <c r="AO30" s="263"/>
    </row>
    <row r="31" spans="1:41" ht="1.35" customHeight="1" thickTop="1" thickBot="1" x14ac:dyDescent="0.35">
      <c r="A31" s="150"/>
      <c r="B31" s="185"/>
      <c r="C31" s="143" t="s">
        <v>97</v>
      </c>
      <c r="D31" s="126">
        <v>36920</v>
      </c>
      <c r="E31" s="145"/>
      <c r="F31" s="145"/>
      <c r="G31" s="132">
        <f t="shared" si="2"/>
        <v>0</v>
      </c>
      <c r="H31" s="145"/>
      <c r="I31" s="145"/>
      <c r="J31" s="132">
        <f t="shared" si="3"/>
        <v>0</v>
      </c>
      <c r="K31" s="146">
        <v>8</v>
      </c>
      <c r="L31" s="147">
        <f t="shared" si="0"/>
        <v>0</v>
      </c>
      <c r="M31" s="205"/>
      <c r="N31" s="250">
        <f t="shared" si="1"/>
        <v>0</v>
      </c>
      <c r="O31" s="272"/>
      <c r="P31" s="273"/>
      <c r="Q31" s="273"/>
      <c r="R31" s="273"/>
      <c r="S31" s="273"/>
      <c r="T31" s="273"/>
      <c r="U31" s="273"/>
      <c r="V31" s="181"/>
      <c r="W31" s="162"/>
      <c r="X31" s="164"/>
      <c r="Y31" s="121"/>
      <c r="AK31" s="138" t="s">
        <v>288</v>
      </c>
      <c r="AL31" s="263">
        <v>1850</v>
      </c>
      <c r="AN31" s="138" t="s">
        <v>288</v>
      </c>
      <c r="AO31" s="263"/>
    </row>
    <row r="32" spans="1:41" ht="1.35" customHeight="1" thickTop="1" thickBot="1" x14ac:dyDescent="0.35">
      <c r="A32" s="150"/>
      <c r="B32" s="185"/>
      <c r="C32" s="143" t="s">
        <v>98</v>
      </c>
      <c r="D32" s="126">
        <v>36921</v>
      </c>
      <c r="E32" s="145"/>
      <c r="F32" s="145"/>
      <c r="G32" s="132">
        <f t="shared" si="2"/>
        <v>0</v>
      </c>
      <c r="H32" s="145"/>
      <c r="I32" s="145"/>
      <c r="J32" s="132">
        <f t="shared" si="3"/>
        <v>0</v>
      </c>
      <c r="K32" s="146">
        <v>8</v>
      </c>
      <c r="L32" s="147">
        <f t="shared" si="0"/>
        <v>0</v>
      </c>
      <c r="M32" s="205"/>
      <c r="N32" s="250">
        <f t="shared" si="1"/>
        <v>0</v>
      </c>
      <c r="O32" s="272"/>
      <c r="P32" s="273"/>
      <c r="Q32" s="273"/>
      <c r="R32" s="273"/>
      <c r="S32" s="273"/>
      <c r="T32" s="273"/>
      <c r="U32" s="273"/>
      <c r="V32" s="181"/>
      <c r="W32" s="162"/>
      <c r="X32" s="164"/>
      <c r="Y32" s="121"/>
      <c r="AK32" s="138" t="s">
        <v>289</v>
      </c>
      <c r="AL32" s="263">
        <v>1850</v>
      </c>
      <c r="AN32" s="138" t="s">
        <v>289</v>
      </c>
      <c r="AO32" s="263"/>
    </row>
    <row r="33" spans="1:41" ht="16.05" customHeight="1" thickTop="1" thickBot="1" x14ac:dyDescent="0.35">
      <c r="A33" s="150"/>
      <c r="B33" s="487">
        <f>_xlfn.ISOWEEKNUM(D33)</f>
        <v>5</v>
      </c>
      <c r="C33" s="206" t="s">
        <v>99</v>
      </c>
      <c r="D33" s="126">
        <v>36922</v>
      </c>
      <c r="E33" s="208"/>
      <c r="F33" s="208"/>
      <c r="G33" s="132">
        <f t="shared" si="2"/>
        <v>0</v>
      </c>
      <c r="H33" s="208"/>
      <c r="I33" s="208"/>
      <c r="J33" s="132">
        <f t="shared" si="3"/>
        <v>0</v>
      </c>
      <c r="K33" s="209">
        <v>8.5</v>
      </c>
      <c r="L33" s="210">
        <f t="shared" si="0"/>
        <v>0</v>
      </c>
      <c r="M33" s="211"/>
      <c r="N33" s="249">
        <f t="shared" si="1"/>
        <v>0</v>
      </c>
      <c r="O33" s="267"/>
      <c r="P33" s="266"/>
      <c r="Q33" s="266"/>
      <c r="R33" s="266"/>
      <c r="S33" s="266"/>
      <c r="T33" s="266"/>
      <c r="U33" s="266"/>
      <c r="V33" s="215"/>
      <c r="W33" s="214"/>
      <c r="X33" s="216"/>
      <c r="Y33" s="121"/>
      <c r="AK33" s="138" t="s">
        <v>290</v>
      </c>
      <c r="AL33" s="263">
        <v>1850</v>
      </c>
      <c r="AN33" s="138" t="s">
        <v>290</v>
      </c>
      <c r="AO33" s="263"/>
    </row>
    <row r="34" spans="1:41" ht="16.05" customHeight="1" thickTop="1" thickBot="1" x14ac:dyDescent="0.35">
      <c r="A34" s="150"/>
      <c r="B34" s="487"/>
      <c r="C34" s="125" t="s">
        <v>93</v>
      </c>
      <c r="D34" s="126"/>
      <c r="E34" s="127"/>
      <c r="F34" s="282"/>
      <c r="G34" s="227">
        <f t="shared" si="2"/>
        <v>0</v>
      </c>
      <c r="H34" s="282"/>
      <c r="I34" s="127"/>
      <c r="J34" s="227">
        <f t="shared" si="3"/>
        <v>0</v>
      </c>
      <c r="K34" s="115">
        <v>8.5</v>
      </c>
      <c r="L34" s="286">
        <f t="shared" si="0"/>
        <v>0</v>
      </c>
      <c r="M34" s="205"/>
      <c r="N34" s="250">
        <f t="shared" si="1"/>
        <v>0</v>
      </c>
      <c r="O34" s="268"/>
      <c r="P34" s="269"/>
      <c r="Q34" s="269"/>
      <c r="R34" s="269"/>
      <c r="S34" s="269"/>
      <c r="T34" s="269"/>
      <c r="U34" s="269"/>
      <c r="V34" s="180"/>
      <c r="W34" s="157"/>
      <c r="X34" s="158"/>
      <c r="Y34" s="121"/>
      <c r="AH34" s="260">
        <f>AH20+AH30</f>
        <v>168.27734375</v>
      </c>
      <c r="AK34" s="138" t="s">
        <v>291</v>
      </c>
      <c r="AL34" s="263">
        <v>1850</v>
      </c>
      <c r="AN34" s="138" t="s">
        <v>291</v>
      </c>
      <c r="AO34" s="263"/>
    </row>
    <row r="35" spans="1:41" ht="16.05" customHeight="1" thickTop="1" thickBot="1" x14ac:dyDescent="0.35">
      <c r="A35" s="150"/>
      <c r="B35" s="487"/>
      <c r="C35" s="206"/>
      <c r="D35" s="126"/>
      <c r="E35" s="220"/>
      <c r="F35" s="220"/>
      <c r="G35" s="132">
        <f t="shared" si="2"/>
        <v>0</v>
      </c>
      <c r="H35" s="220"/>
      <c r="I35" s="220"/>
      <c r="J35" s="132">
        <f t="shared" si="3"/>
        <v>0</v>
      </c>
      <c r="K35" s="221">
        <v>8.5</v>
      </c>
      <c r="L35" s="210">
        <f t="shared" si="0"/>
        <v>0</v>
      </c>
      <c r="M35" s="211"/>
      <c r="N35" s="249">
        <f>IF(L35&gt;0,(L35-K35)+N34,+N34)</f>
        <v>0</v>
      </c>
      <c r="O35" s="276"/>
      <c r="P35" s="277"/>
      <c r="Q35" s="277"/>
      <c r="R35" s="277"/>
      <c r="S35" s="277"/>
      <c r="T35" s="277"/>
      <c r="U35" s="277"/>
      <c r="V35" s="225"/>
      <c r="W35" s="224"/>
      <c r="X35" s="226"/>
      <c r="Y35" s="121"/>
      <c r="AL35" s="263"/>
      <c r="AO35" s="263"/>
    </row>
    <row r="36" spans="1:41" ht="16.350000000000001" customHeight="1" thickTop="1" thickBot="1" x14ac:dyDescent="0.35">
      <c r="A36" s="150"/>
      <c r="B36" s="487"/>
      <c r="C36" s="125"/>
      <c r="D36" s="126"/>
      <c r="E36" s="127"/>
      <c r="F36" s="282"/>
      <c r="G36" s="227">
        <f t="shared" si="2"/>
        <v>0</v>
      </c>
      <c r="H36" s="282"/>
      <c r="I36" s="127"/>
      <c r="J36" s="227">
        <f t="shared" si="3"/>
        <v>0</v>
      </c>
      <c r="K36" s="115">
        <v>8.5</v>
      </c>
      <c r="L36" s="281">
        <f t="shared" si="0"/>
        <v>0</v>
      </c>
      <c r="M36" s="205"/>
      <c r="N36" s="250">
        <f>IF(L36&gt;0,(L36-K36)+N35,+N35)</f>
        <v>0</v>
      </c>
      <c r="O36" s="278"/>
      <c r="P36" s="279"/>
      <c r="Q36" s="279"/>
      <c r="R36" s="279"/>
      <c r="S36" s="279"/>
      <c r="T36" s="279"/>
      <c r="U36" s="279"/>
      <c r="V36" s="242"/>
      <c r="W36" s="241"/>
      <c r="X36" s="243"/>
      <c r="Y36" s="121"/>
      <c r="AL36" s="263">
        <f>SUM(AL23:AL34)</f>
        <v>18000</v>
      </c>
      <c r="AO36" s="263">
        <f>SUM(AO23:AO34)</f>
        <v>12950</v>
      </c>
    </row>
    <row r="37" spans="1:41" ht="16.350000000000001" customHeight="1" thickTop="1" thickBot="1" x14ac:dyDescent="0.35">
      <c r="B37" s="244"/>
      <c r="C37" s="206"/>
      <c r="D37" s="126"/>
      <c r="E37" s="220"/>
      <c r="F37" s="220"/>
      <c r="G37" s="132">
        <f t="shared" si="2"/>
        <v>0</v>
      </c>
      <c r="H37" s="220"/>
      <c r="I37" s="220"/>
      <c r="J37" s="132">
        <f t="shared" si="3"/>
        <v>0</v>
      </c>
      <c r="K37" s="221">
        <v>8</v>
      </c>
      <c r="L37" s="210">
        <f t="shared" si="0"/>
        <v>0</v>
      </c>
      <c r="M37" s="222"/>
      <c r="N37" s="249">
        <f>IF(L37&gt;0,(L37-K37)+N36,+N36)</f>
        <v>0</v>
      </c>
      <c r="O37" s="276"/>
      <c r="P37" s="277"/>
      <c r="Q37" s="277"/>
      <c r="R37" s="277"/>
      <c r="S37" s="277"/>
      <c r="T37" s="277"/>
      <c r="U37" s="277"/>
      <c r="V37" s="225"/>
      <c r="W37" s="224"/>
      <c r="X37" s="226"/>
      <c r="Y37" s="121"/>
      <c r="AL37" s="263"/>
    </row>
    <row r="38" spans="1:41" ht="15" thickTop="1" thickBot="1" x14ac:dyDescent="0.3">
      <c r="B38" s="134"/>
      <c r="C38" s="135"/>
      <c r="D38" s="136"/>
      <c r="E38" s="135"/>
      <c r="F38" s="135"/>
      <c r="G38" s="135"/>
      <c r="H38" s="135"/>
      <c r="I38" s="135"/>
      <c r="J38" s="135"/>
      <c r="K38" s="135"/>
      <c r="L38" s="135">
        <f>L5+L6+L7+L8+L9+L12+L13+L14+L15+L16+L19+L20+L21+L22+L23+L26+L27+L28+L29+L30+L33+L34</f>
        <v>0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7"/>
    </row>
    <row r="39" spans="1:41" ht="15" thickTop="1" thickBot="1" x14ac:dyDescent="0.3">
      <c r="C39" s="138"/>
      <c r="P39" s="139"/>
      <c r="Q39" s="140"/>
      <c r="U39" s="176"/>
    </row>
    <row r="40" spans="1:41" ht="16.8" thickTop="1" thickBot="1" x14ac:dyDescent="0.35">
      <c r="C40" s="491" t="s">
        <v>225</v>
      </c>
      <c r="D40" s="519"/>
      <c r="E40" s="499">
        <f>SUM(E41:E50)</f>
        <v>0</v>
      </c>
      <c r="F40" s="500"/>
      <c r="P40" s="138"/>
      <c r="T40" s="176"/>
      <c r="AB40" s="117">
        <v>500</v>
      </c>
      <c r="AC40" s="117">
        <v>1000</v>
      </c>
      <c r="AD40" s="117">
        <v>2000</v>
      </c>
    </row>
    <row r="41" spans="1:41" ht="14.4" thickTop="1" x14ac:dyDescent="0.25">
      <c r="C41" s="520"/>
      <c r="D41" s="521"/>
      <c r="E41" s="530">
        <f>SUMIF(O5:O37,"Clair*",P5:P37)+SUMIF(Q5:Q37,"Clair*",R5:R37)+SUMIF(S5:S37,"Clair*",T5:T37)</f>
        <v>0</v>
      </c>
      <c r="F41" s="531"/>
      <c r="P41" s="139"/>
      <c r="U41" s="176"/>
      <c r="AA41" s="117" t="s">
        <v>305</v>
      </c>
      <c r="AB41" s="117">
        <v>361.2</v>
      </c>
      <c r="AC41" s="117">
        <v>332</v>
      </c>
      <c r="AD41" s="117">
        <v>273.7</v>
      </c>
    </row>
    <row r="42" spans="1:41" x14ac:dyDescent="0.25">
      <c r="C42" s="495"/>
      <c r="D42" s="496"/>
      <c r="E42" s="509">
        <f>SUMIF(O5:O37,"Clair*",P5:P37)+SUMIF(Q5:Q37,"Clair*",R5:R37)+SUMIF(S5:S37,"Clair*",T5:T37)</f>
        <v>0</v>
      </c>
      <c r="F42" s="510"/>
      <c r="P42" s="139"/>
      <c r="Q42" s="140"/>
      <c r="U42" s="176"/>
      <c r="AA42" s="117" t="s">
        <v>306</v>
      </c>
      <c r="AB42" s="117">
        <v>361.2</v>
      </c>
      <c r="AC42" s="117">
        <v>332</v>
      </c>
      <c r="AD42" s="117">
        <v>273.7</v>
      </c>
    </row>
    <row r="43" spans="1:41" x14ac:dyDescent="0.25">
      <c r="C43" s="493"/>
      <c r="D43" s="494"/>
      <c r="E43" s="505">
        <f>SUMIF(O5:O37,"Clair*",P5:P37)+SUMIF(Q5:Q37,"Clair*",R5:R37)+SUMIF(S5:S37,"Clair*",T5:T37)</f>
        <v>0</v>
      </c>
      <c r="F43" s="506"/>
      <c r="AA43" s="117" t="s">
        <v>307</v>
      </c>
      <c r="AB43" s="117">
        <v>361.2</v>
      </c>
      <c r="AC43" s="117">
        <v>332</v>
      </c>
      <c r="AD43" s="117">
        <v>273.7</v>
      </c>
    </row>
    <row r="44" spans="1:41" x14ac:dyDescent="0.25">
      <c r="C44" s="493"/>
      <c r="D44" s="494"/>
      <c r="E44" s="505">
        <f>SUMIF(O5:O37,"Clair*",P5:P37)+SUMIF(Q5:Q37,"Clair*",R5:R37)+SUMIF(S5:S37,"Clair*",T5:T37)</f>
        <v>0</v>
      </c>
      <c r="F44" s="506"/>
      <c r="AA44" s="117" t="s">
        <v>308</v>
      </c>
      <c r="AB44" s="117">
        <v>361.2</v>
      </c>
      <c r="AC44" s="117">
        <v>332</v>
      </c>
      <c r="AD44" s="117">
        <v>273.7</v>
      </c>
    </row>
    <row r="45" spans="1:41" x14ac:dyDescent="0.25">
      <c r="C45" s="493"/>
      <c r="D45" s="494"/>
      <c r="E45" s="505">
        <f>SUMIF(O5:O37,"Clair*",P5:P37)+SUMIF(Q5:Q37,"Clair*",R5:R37)+SUMIF(S5:S37,"Clair*",T5:T37)</f>
        <v>0</v>
      </c>
      <c r="F45" s="506"/>
      <c r="AA45" s="117" t="s">
        <v>309</v>
      </c>
      <c r="AB45" s="117">
        <v>361.2</v>
      </c>
      <c r="AC45" s="117">
        <v>332</v>
      </c>
      <c r="AD45" s="117">
        <v>273.7</v>
      </c>
    </row>
    <row r="46" spans="1:41" x14ac:dyDescent="0.25">
      <c r="C46" s="493"/>
      <c r="D46" s="494"/>
      <c r="E46" s="505">
        <f>SUMIF(O5:O37,"Clair*",P5:P37)+SUMIF(Q5:Q37,"Clair*",R5:R37)+SUMIF(S5:S37,"Clair*",T5:T37)</f>
        <v>0</v>
      </c>
      <c r="F46" s="506"/>
      <c r="AA46" s="117" t="s">
        <v>229</v>
      </c>
      <c r="AB46" s="117">
        <v>361.2</v>
      </c>
      <c r="AC46" s="117">
        <v>332</v>
      </c>
      <c r="AD46" s="117">
        <v>273.7</v>
      </c>
    </row>
    <row r="47" spans="1:41" x14ac:dyDescent="0.25">
      <c r="C47" s="493"/>
      <c r="D47" s="494"/>
      <c r="E47" s="505">
        <f>SUMIF(O5:O37,"Clair*",P5:P37)+SUMIF(Q5:Q37,"Clair*",R5:R37)+SUMIF(S5:S37,"Clair*",T5:T37)</f>
        <v>0</v>
      </c>
      <c r="F47" s="506"/>
      <c r="AA47" s="117" t="s">
        <v>232</v>
      </c>
      <c r="AB47" s="117">
        <v>361.2</v>
      </c>
      <c r="AC47" s="117">
        <v>332</v>
      </c>
      <c r="AD47" s="117">
        <v>273.7</v>
      </c>
    </row>
    <row r="48" spans="1:41" x14ac:dyDescent="0.25">
      <c r="C48" s="493"/>
      <c r="D48" s="494"/>
      <c r="E48" s="507">
        <f>SUMIF(O5:O37,"Clair*",P5:P37)+SUMIF(Q5:Q37,"Clair*",R5:R37)+SUMIF(S5:S37,"Clair*",T5:T37)</f>
        <v>0</v>
      </c>
      <c r="F48" s="508"/>
      <c r="AA48" s="117" t="s">
        <v>251</v>
      </c>
      <c r="AB48" s="117">
        <v>361.2</v>
      </c>
      <c r="AC48" s="117">
        <v>332</v>
      </c>
      <c r="AD48" s="117">
        <v>273.7</v>
      </c>
    </row>
    <row r="49" spans="3:30" x14ac:dyDescent="0.25">
      <c r="C49" s="493"/>
      <c r="D49" s="494"/>
      <c r="E49" s="505">
        <f>SUMIF(O5:O37,"Clair*",P5:P37)+SUMIF(Q5:Q37,"Clair*",R5:R37)+SUMIF(S5:S37,"Clair*",T5:T37)</f>
        <v>0</v>
      </c>
      <c r="F49" s="506"/>
      <c r="AA49" s="117" t="s">
        <v>310</v>
      </c>
      <c r="AB49" s="117">
        <v>361.2</v>
      </c>
      <c r="AC49" s="117">
        <v>332</v>
      </c>
      <c r="AD49" s="117">
        <v>273.7</v>
      </c>
    </row>
    <row r="50" spans="3:30" x14ac:dyDescent="0.25">
      <c r="C50" s="493"/>
      <c r="D50" s="494"/>
      <c r="E50" s="505">
        <f>SUMIF(O5:O37,"Clair*",P5:P37)+SUMIF(Q5:Q37,"Clair*",R5:R37)+SUMIF(S5:S37,"Clair*",T5:T37)</f>
        <v>0</v>
      </c>
      <c r="F50" s="506"/>
      <c r="AA50" s="117" t="s">
        <v>311</v>
      </c>
      <c r="AB50" s="117">
        <v>361.2</v>
      </c>
      <c r="AC50" s="117">
        <v>332</v>
      </c>
      <c r="AD50" s="117">
        <v>273.7</v>
      </c>
    </row>
    <row r="51" spans="3:30" ht="14.4" thickBot="1" x14ac:dyDescent="0.3">
      <c r="C51" s="497"/>
      <c r="D51" s="498"/>
      <c r="E51" s="503">
        <f>SUMIF(O5:O37,"Clair*",P5:P37)+SUMIF(Q5:Q37,"Clair*",R5:R37)+SUMIF(S5:S37,"Clair*",T5:T37)</f>
        <v>0</v>
      </c>
      <c r="F51" s="504"/>
      <c r="AA51" s="117" t="s">
        <v>312</v>
      </c>
      <c r="AB51" s="117">
        <v>361.2</v>
      </c>
      <c r="AC51" s="117">
        <v>332</v>
      </c>
      <c r="AD51" s="117">
        <v>273.7</v>
      </c>
    </row>
    <row r="52" spans="3:30" x14ac:dyDescent="0.25">
      <c r="C52" s="138"/>
      <c r="AA52" s="117" t="s">
        <v>313</v>
      </c>
      <c r="AB52" s="117">
        <v>361.2</v>
      </c>
      <c r="AC52" s="117">
        <v>332</v>
      </c>
      <c r="AD52" s="117">
        <v>273.7</v>
      </c>
    </row>
    <row r="53" spans="3:30" x14ac:dyDescent="0.25">
      <c r="C53" s="138" t="s">
        <v>323</v>
      </c>
    </row>
    <row r="54" spans="3:30" x14ac:dyDescent="0.25">
      <c r="C54" s="138"/>
      <c r="AB54" s="117">
        <f>SUM(AB40:AB52)</f>
        <v>4834.3999999999987</v>
      </c>
      <c r="AC54" s="117">
        <f>SUM(AC40:AC52)</f>
        <v>4984</v>
      </c>
      <c r="AD54" s="117">
        <f>SUM(AD40:AD52)</f>
        <v>5284.3999999999978</v>
      </c>
    </row>
    <row r="55" spans="3:30" x14ac:dyDescent="0.25">
      <c r="C55" s="138"/>
      <c r="D55" s="284" t="s">
        <v>321</v>
      </c>
      <c r="E55" s="284" t="s">
        <v>322</v>
      </c>
      <c r="F55" s="284" t="s">
        <v>324</v>
      </c>
    </row>
    <row r="56" spans="3:30" x14ac:dyDescent="0.25">
      <c r="C56" s="138" t="s">
        <v>314</v>
      </c>
      <c r="F56" s="285" t="e">
        <f>AVERAGE(D56:E56)</f>
        <v>#DIV/0!</v>
      </c>
    </row>
    <row r="57" spans="3:30" x14ac:dyDescent="0.25">
      <c r="C57" s="117" t="s">
        <v>315</v>
      </c>
      <c r="F57" s="285" t="e">
        <f t="shared" ref="F57:F62" si="4">AVERAGE(D57:E57)</f>
        <v>#DIV/0!</v>
      </c>
    </row>
    <row r="58" spans="3:30" x14ac:dyDescent="0.25">
      <c r="C58" s="117" t="s">
        <v>316</v>
      </c>
      <c r="F58" s="285" t="e">
        <f t="shared" si="4"/>
        <v>#DIV/0!</v>
      </c>
    </row>
    <row r="59" spans="3:30" x14ac:dyDescent="0.25">
      <c r="C59" s="117" t="s">
        <v>317</v>
      </c>
      <c r="F59" s="285" t="e">
        <f t="shared" si="4"/>
        <v>#DIV/0!</v>
      </c>
    </row>
    <row r="60" spans="3:30" x14ac:dyDescent="0.25">
      <c r="C60" s="117" t="s">
        <v>318</v>
      </c>
      <c r="F60" s="285" t="e">
        <f t="shared" si="4"/>
        <v>#DIV/0!</v>
      </c>
    </row>
    <row r="61" spans="3:30" x14ac:dyDescent="0.25">
      <c r="C61" s="117" t="s">
        <v>319</v>
      </c>
      <c r="F61" s="285" t="e">
        <f t="shared" si="4"/>
        <v>#DIV/0!</v>
      </c>
    </row>
    <row r="62" spans="3:30" x14ac:dyDescent="0.25">
      <c r="C62" s="117" t="s">
        <v>320</v>
      </c>
      <c r="F62" s="285" t="e">
        <f t="shared" si="4"/>
        <v>#DIV/0!</v>
      </c>
    </row>
    <row r="65" spans="3:7" x14ac:dyDescent="0.25">
      <c r="C65" s="138" t="s">
        <v>325</v>
      </c>
    </row>
    <row r="66" spans="3:7" x14ac:dyDescent="0.25">
      <c r="C66" s="138"/>
    </row>
    <row r="67" spans="3:7" x14ac:dyDescent="0.25">
      <c r="C67" s="138"/>
      <c r="D67" s="284" t="s">
        <v>321</v>
      </c>
      <c r="E67" s="284"/>
      <c r="F67" s="284"/>
      <c r="G67" s="284" t="s">
        <v>324</v>
      </c>
    </row>
    <row r="68" spans="3:7" x14ac:dyDescent="0.25">
      <c r="C68" s="138" t="s">
        <v>314</v>
      </c>
      <c r="G68" s="117" t="e">
        <f>AVERAGE(D68:F68)</f>
        <v>#DIV/0!</v>
      </c>
    </row>
    <row r="69" spans="3:7" x14ac:dyDescent="0.25">
      <c r="C69" s="117" t="s">
        <v>315</v>
      </c>
      <c r="G69" s="117" t="e">
        <f t="shared" ref="G69:G73" si="5">AVERAGE(D69:F69)</f>
        <v>#DIV/0!</v>
      </c>
    </row>
    <row r="70" spans="3:7" x14ac:dyDescent="0.25">
      <c r="C70" s="117" t="s">
        <v>316</v>
      </c>
      <c r="G70" s="117" t="e">
        <f t="shared" si="5"/>
        <v>#DIV/0!</v>
      </c>
    </row>
    <row r="71" spans="3:7" x14ac:dyDescent="0.25">
      <c r="C71" s="117" t="s">
        <v>317</v>
      </c>
      <c r="G71" s="117" t="e">
        <f t="shared" si="5"/>
        <v>#DIV/0!</v>
      </c>
    </row>
    <row r="72" spans="3:7" x14ac:dyDescent="0.25">
      <c r="C72" s="117" t="s">
        <v>318</v>
      </c>
      <c r="G72" s="117" t="e">
        <f t="shared" si="5"/>
        <v>#DIV/0!</v>
      </c>
    </row>
    <row r="73" spans="3:7" x14ac:dyDescent="0.25">
      <c r="C73" s="117" t="s">
        <v>319</v>
      </c>
      <c r="G73" s="117" t="e">
        <f t="shared" si="5"/>
        <v>#DIV/0!</v>
      </c>
    </row>
    <row r="74" spans="3:7" x14ac:dyDescent="0.25">
      <c r="C74" s="117" t="s">
        <v>320</v>
      </c>
    </row>
    <row r="75" spans="3:7" x14ac:dyDescent="0.25">
      <c r="D75" s="142"/>
    </row>
    <row r="76" spans="3:7" x14ac:dyDescent="0.25">
      <c r="C76" s="138"/>
      <c r="D76" s="284" t="s">
        <v>326</v>
      </c>
    </row>
    <row r="77" spans="3:7" x14ac:dyDescent="0.25">
      <c r="C77" s="138" t="s">
        <v>314</v>
      </c>
      <c r="G77" s="117" t="e">
        <f>AVERAGE(D77:F77)</f>
        <v>#DIV/0!</v>
      </c>
    </row>
    <row r="78" spans="3:7" x14ac:dyDescent="0.25">
      <c r="C78" s="117" t="s">
        <v>315</v>
      </c>
      <c r="G78" s="117" t="e">
        <f t="shared" ref="G78:G83" si="6">AVERAGE(D78:F78)</f>
        <v>#DIV/0!</v>
      </c>
    </row>
    <row r="79" spans="3:7" x14ac:dyDescent="0.25">
      <c r="C79" s="117" t="s">
        <v>316</v>
      </c>
      <c r="G79" s="117" t="e">
        <f t="shared" si="6"/>
        <v>#DIV/0!</v>
      </c>
    </row>
    <row r="80" spans="3:7" x14ac:dyDescent="0.25">
      <c r="C80" s="117" t="s">
        <v>317</v>
      </c>
      <c r="G80" s="117" t="e">
        <f t="shared" si="6"/>
        <v>#DIV/0!</v>
      </c>
    </row>
    <row r="81" spans="3:7" x14ac:dyDescent="0.25">
      <c r="C81" s="117" t="s">
        <v>318</v>
      </c>
      <c r="G81" s="117" t="e">
        <f t="shared" si="6"/>
        <v>#DIV/0!</v>
      </c>
    </row>
    <row r="82" spans="3:7" x14ac:dyDescent="0.25">
      <c r="C82" s="117" t="s">
        <v>319</v>
      </c>
      <c r="G82" s="117" t="e">
        <f t="shared" si="6"/>
        <v>#DIV/0!</v>
      </c>
    </row>
    <row r="83" spans="3:7" x14ac:dyDescent="0.25">
      <c r="C83" s="117" t="s">
        <v>320</v>
      </c>
      <c r="G83" s="117" t="e">
        <f t="shared" si="6"/>
        <v>#DIV/0!</v>
      </c>
    </row>
    <row r="84" spans="3:7" x14ac:dyDescent="0.25">
      <c r="D84" s="142"/>
    </row>
    <row r="85" spans="3:7" x14ac:dyDescent="0.25">
      <c r="D85" s="142"/>
    </row>
    <row r="86" spans="3:7" x14ac:dyDescent="0.25">
      <c r="D86" s="142"/>
    </row>
    <row r="87" spans="3:7" x14ac:dyDescent="0.25">
      <c r="D87" s="142"/>
    </row>
    <row r="88" spans="3:7" x14ac:dyDescent="0.25">
      <c r="D88" s="142"/>
    </row>
    <row r="89" spans="3:7" x14ac:dyDescent="0.25">
      <c r="D89" s="142"/>
    </row>
    <row r="90" spans="3:7" x14ac:dyDescent="0.25">
      <c r="D90" s="142"/>
    </row>
    <row r="91" spans="3:7" x14ac:dyDescent="0.25">
      <c r="D91" s="142"/>
    </row>
    <row r="92" spans="3:7" x14ac:dyDescent="0.25">
      <c r="D92" s="142"/>
    </row>
    <row r="93" spans="3:7" x14ac:dyDescent="0.25">
      <c r="D93" s="142"/>
    </row>
    <row r="94" spans="3:7" x14ac:dyDescent="0.25">
      <c r="D94" s="142"/>
    </row>
    <row r="95" spans="3:7" x14ac:dyDescent="0.25">
      <c r="D95" s="142"/>
    </row>
    <row r="96" spans="3:7" x14ac:dyDescent="0.25">
      <c r="D96" s="142"/>
    </row>
    <row r="97" spans="4:4" x14ac:dyDescent="0.25">
      <c r="D97" s="142"/>
    </row>
    <row r="98" spans="4:4" x14ac:dyDescent="0.25">
      <c r="D98" s="142"/>
    </row>
    <row r="99" spans="4:4" x14ac:dyDescent="0.25">
      <c r="D99" s="142"/>
    </row>
    <row r="100" spans="4:4" x14ac:dyDescent="0.25">
      <c r="D100" s="142"/>
    </row>
    <row r="101" spans="4:4" x14ac:dyDescent="0.25">
      <c r="D101" s="142"/>
    </row>
    <row r="102" spans="4:4" x14ac:dyDescent="0.25">
      <c r="D102" s="142"/>
    </row>
    <row r="103" spans="4:4" x14ac:dyDescent="0.25">
      <c r="D103" s="142"/>
    </row>
    <row r="104" spans="4:4" x14ac:dyDescent="0.25">
      <c r="D104" s="142"/>
    </row>
    <row r="105" spans="4:4" x14ac:dyDescent="0.25">
      <c r="D105" s="142"/>
    </row>
    <row r="106" spans="4:4" x14ac:dyDescent="0.25">
      <c r="D106" s="142"/>
    </row>
    <row r="107" spans="4:4" x14ac:dyDescent="0.25">
      <c r="D107" s="142"/>
    </row>
    <row r="108" spans="4:4" x14ac:dyDescent="0.25">
      <c r="D108" s="142"/>
    </row>
    <row r="109" spans="4:4" x14ac:dyDescent="0.25">
      <c r="D109" s="142"/>
    </row>
    <row r="110" spans="4:4" x14ac:dyDescent="0.25">
      <c r="D110" s="142"/>
    </row>
    <row r="111" spans="4:4" x14ac:dyDescent="0.25">
      <c r="D111" s="142"/>
    </row>
    <row r="112" spans="4:4" x14ac:dyDescent="0.25">
      <c r="D112" s="142"/>
    </row>
    <row r="113" spans="4:4" x14ac:dyDescent="0.25">
      <c r="D113" s="142"/>
    </row>
    <row r="114" spans="4:4" x14ac:dyDescent="0.25">
      <c r="D114" s="142"/>
    </row>
    <row r="115" spans="4:4" x14ac:dyDescent="0.25">
      <c r="D115" s="142"/>
    </row>
    <row r="116" spans="4:4" x14ac:dyDescent="0.25">
      <c r="D116" s="142"/>
    </row>
    <row r="117" spans="4:4" x14ac:dyDescent="0.25">
      <c r="D117" s="142"/>
    </row>
    <row r="118" spans="4:4" x14ac:dyDescent="0.25">
      <c r="D118" s="142"/>
    </row>
    <row r="119" spans="4:4" x14ac:dyDescent="0.25">
      <c r="D119" s="142"/>
    </row>
    <row r="120" spans="4:4" x14ac:dyDescent="0.25">
      <c r="D120" s="142"/>
    </row>
    <row r="121" spans="4:4" x14ac:dyDescent="0.25">
      <c r="D121" s="142"/>
    </row>
    <row r="1048576" spans="11:11" x14ac:dyDescent="0.25">
      <c r="K1048576" s="117">
        <f>SUM(K1:K1048575)</f>
        <v>274</v>
      </c>
    </row>
  </sheetData>
  <mergeCells count="32">
    <mergeCell ref="B19:B23"/>
    <mergeCell ref="C2:X2"/>
    <mergeCell ref="C3:L3"/>
    <mergeCell ref="O4:X4"/>
    <mergeCell ref="B5:B9"/>
    <mergeCell ref="B12:B16"/>
    <mergeCell ref="B26:B30"/>
    <mergeCell ref="B33:B36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51:D51"/>
    <mergeCell ref="E51:F51"/>
    <mergeCell ref="C48:D48"/>
    <mergeCell ref="E48:F48"/>
    <mergeCell ref="C49:D49"/>
    <mergeCell ref="E49:F49"/>
    <mergeCell ref="C50:D50"/>
    <mergeCell ref="E50:F50"/>
  </mergeCells>
  <conditionalFormatting sqref="D5:D37">
    <cfRule type="expression" dxfId="5" priority="2">
      <formula>D5=TODAY()</formula>
    </cfRule>
    <cfRule type="expression" dxfId="4" priority="3">
      <formula>D5&lt;TODAY()</formula>
    </cfRule>
  </conditionalFormatting>
  <conditionalFormatting sqref="G1">
    <cfRule type="expression" dxfId="3" priority="1">
      <formula>$F$1=$E$1</formula>
    </cfRule>
  </conditionalFormatting>
  <dataValidations count="1">
    <dataValidation type="list" allowBlank="1" showInputMessage="1" showErrorMessage="1" sqref="E38 G38" xr:uid="{00000000-0002-0000-1C00-000000000000}">
      <formula1>#REF!</formula1>
    </dataValidation>
  </dataValidations>
  <pageMargins left="0.25" right="0.25" top="0.75" bottom="0.75" header="0.3" footer="0.3"/>
  <pageSetup paperSize="9" scale="80" fitToHeight="0" orientation="landscape" r:id="rId1"/>
  <headerFooter>
    <oddHeader xml:space="preserve">&amp;C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27</vt:i4>
      </vt:variant>
    </vt:vector>
  </HeadingPairs>
  <TitlesOfParts>
    <vt:vector size="58" baseType="lpstr">
      <vt:lpstr>Chantier</vt:lpstr>
      <vt:lpstr>Octobre 2020</vt:lpstr>
      <vt:lpstr>Novembre 2020</vt:lpstr>
      <vt:lpstr>Decembre 2020</vt:lpstr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Août 2021</vt:lpstr>
      <vt:lpstr>Septembre 2021</vt:lpstr>
      <vt:lpstr>Octobre 2021</vt:lpstr>
      <vt:lpstr>Novembre 2021</vt:lpstr>
      <vt:lpstr>Feuil1</vt:lpstr>
      <vt:lpstr>Janvier 2022</vt:lpstr>
      <vt:lpstr>Février 2022</vt:lpstr>
      <vt:lpstr>Mars 2022</vt:lpstr>
      <vt:lpstr>Avril 2022</vt:lpstr>
      <vt:lpstr>Mai 2022</vt:lpstr>
      <vt:lpstr>Juin 2022</vt:lpstr>
      <vt:lpstr>Juillet 2022 </vt:lpstr>
      <vt:lpstr>Août 2022</vt:lpstr>
      <vt:lpstr>Septembre 2022</vt:lpstr>
      <vt:lpstr>Octobre 2022</vt:lpstr>
      <vt:lpstr>Novembre 2022</vt:lpstr>
      <vt:lpstr>Decembre 2022</vt:lpstr>
      <vt:lpstr>Janvier 2023</vt:lpstr>
      <vt:lpstr>Feuil2</vt:lpstr>
      <vt:lpstr>contôle</vt:lpstr>
      <vt:lpstr>A180000000</vt:lpstr>
      <vt:lpstr>A1999999</vt:lpstr>
      <vt:lpstr>A9999999</vt:lpstr>
      <vt:lpstr>A99999999</vt:lpstr>
      <vt:lpstr>A999999999</vt:lpstr>
      <vt:lpstr>A999999999999999</vt:lpstr>
      <vt:lpstr>'Août 2021'!Zone_d_impression</vt:lpstr>
      <vt:lpstr>'Août 2022'!Zone_d_impression</vt:lpstr>
      <vt:lpstr>'Avril 2022'!Zone_d_impression</vt:lpstr>
      <vt:lpstr>contôle!Zone_d_impression</vt:lpstr>
      <vt:lpstr>'Decembre 2022'!Zone_d_impression</vt:lpstr>
      <vt:lpstr>'Février 2022'!Zone_d_impression</vt:lpstr>
      <vt:lpstr>'Janvier 2022'!Zone_d_impression</vt:lpstr>
      <vt:lpstr>'Janvier 2023'!Zone_d_impression</vt:lpstr>
      <vt:lpstr>'Juillet 2021'!Zone_d_impression</vt:lpstr>
      <vt:lpstr>'Juillet 2022 '!Zone_d_impression</vt:lpstr>
      <vt:lpstr>'Juin 2021'!Zone_d_impression</vt:lpstr>
      <vt:lpstr>'Juin 2022'!Zone_d_impression</vt:lpstr>
      <vt:lpstr>'Mai 2021'!Zone_d_impression</vt:lpstr>
      <vt:lpstr>'Mai 2022'!Zone_d_impression</vt:lpstr>
      <vt:lpstr>'Mars 2022'!Zone_d_impression</vt:lpstr>
      <vt:lpstr>'Novembre 2021'!Zone_d_impression</vt:lpstr>
      <vt:lpstr>'Novembre 2022'!Zone_d_impression</vt:lpstr>
      <vt:lpstr>'Octobre 2021'!Zone_d_impression</vt:lpstr>
      <vt:lpstr>'Octobre 2022'!Zone_d_impression</vt:lpstr>
      <vt:lpstr>'Septembre 2021'!Zone_d_impression</vt:lpstr>
      <vt:lpstr>'Septembre 2022'!Zone_d_impression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Hurter</dc:creator>
  <cp:lastModifiedBy>Julien Hurter</cp:lastModifiedBy>
  <cp:lastPrinted>2021-08-03T13:13:06Z</cp:lastPrinted>
  <dcterms:created xsi:type="dcterms:W3CDTF">2020-10-01T13:32:34Z</dcterms:created>
  <dcterms:modified xsi:type="dcterms:W3CDTF">2023-01-09T10:42:57Z</dcterms:modified>
</cp:coreProperties>
</file>